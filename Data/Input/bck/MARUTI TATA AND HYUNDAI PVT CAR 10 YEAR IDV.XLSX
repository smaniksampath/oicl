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60" windowWidth="19875" windowHeight="7710"/>
  </bookViews>
  <sheets>
    <sheet name="IDV'S" sheetId="3" r:id="rId1"/>
  </sheets>
  <definedNames>
    <definedName name="_xlnm._FilterDatabase" localSheetId="0" hidden="1">'IDV''S'!$A$1:$AB$33</definedName>
  </definedNames>
  <calcPr calcId="124519"/>
</workbook>
</file>

<file path=xl/calcChain.xml><?xml version="1.0" encoding="utf-8"?>
<calcChain xmlns="http://schemas.openxmlformats.org/spreadsheetml/2006/main">
  <c r="M3" i="3"/>
  <c r="N3"/>
  <c r="O3"/>
  <c r="P3"/>
  <c r="Q3"/>
  <c r="R3"/>
  <c r="S3"/>
  <c r="T3"/>
  <c r="U3"/>
  <c r="V3"/>
  <c r="W3"/>
  <c r="X3"/>
  <c r="Y3" s="1"/>
  <c r="Z3" s="1"/>
  <c r="AA3" s="1"/>
  <c r="AB3" s="1"/>
  <c r="M4"/>
  <c r="N4"/>
  <c r="O4"/>
  <c r="P4"/>
  <c r="Q4"/>
  <c r="R4"/>
  <c r="S4"/>
  <c r="T4"/>
  <c r="U4"/>
  <c r="V4"/>
  <c r="W4"/>
  <c r="X4" s="1"/>
  <c r="Y4" s="1"/>
  <c r="Z4" s="1"/>
  <c r="AA4" s="1"/>
  <c r="AB4" s="1"/>
  <c r="M5"/>
  <c r="N5"/>
  <c r="O5"/>
  <c r="P5"/>
  <c r="Q5"/>
  <c r="R5"/>
  <c r="S5"/>
  <c r="T5"/>
  <c r="U5"/>
  <c r="V5"/>
  <c r="W5"/>
  <c r="X5"/>
  <c r="Y5" s="1"/>
  <c r="Z5" s="1"/>
  <c r="AA5" s="1"/>
  <c r="AB5" s="1"/>
  <c r="M6"/>
  <c r="N6"/>
  <c r="O6"/>
  <c r="P6"/>
  <c r="Q6"/>
  <c r="R6"/>
  <c r="S6"/>
  <c r="T6"/>
  <c r="U6"/>
  <c r="V6"/>
  <c r="W6"/>
  <c r="X6" s="1"/>
  <c r="Y6" s="1"/>
  <c r="Z6" s="1"/>
  <c r="AA6" s="1"/>
  <c r="AB6" s="1"/>
  <c r="M7"/>
  <c r="N7"/>
  <c r="O7"/>
  <c r="P7"/>
  <c r="Q7"/>
  <c r="R7"/>
  <c r="S7"/>
  <c r="T7"/>
  <c r="U7"/>
  <c r="V7"/>
  <c r="W7"/>
  <c r="X7"/>
  <c r="Y7" s="1"/>
  <c r="Z7" s="1"/>
  <c r="AA7" s="1"/>
  <c r="AB7" s="1"/>
  <c r="M8"/>
  <c r="N8"/>
  <c r="O8"/>
  <c r="P8"/>
  <c r="Q8"/>
  <c r="R8"/>
  <c r="S8"/>
  <c r="T8"/>
  <c r="U8"/>
  <c r="V8"/>
  <c r="W8"/>
  <c r="X8" s="1"/>
  <c r="Y8" s="1"/>
  <c r="Z8" s="1"/>
  <c r="AA8" s="1"/>
  <c r="AB8" s="1"/>
  <c r="M9"/>
  <c r="N9"/>
  <c r="O9"/>
  <c r="P9"/>
  <c r="Q9"/>
  <c r="R9"/>
  <c r="S9"/>
  <c r="T9"/>
  <c r="U9"/>
  <c r="V9"/>
  <c r="W9"/>
  <c r="X9"/>
  <c r="Y9" s="1"/>
  <c r="Z9" s="1"/>
  <c r="AA9" s="1"/>
  <c r="AB9" s="1"/>
  <c r="M10"/>
  <c r="N10"/>
  <c r="O10"/>
  <c r="P10"/>
  <c r="Q10"/>
  <c r="R10"/>
  <c r="S10"/>
  <c r="T10"/>
  <c r="U10"/>
  <c r="V10"/>
  <c r="W10"/>
  <c r="X10" s="1"/>
  <c r="Y10" s="1"/>
  <c r="Z10" s="1"/>
  <c r="AA10" s="1"/>
  <c r="AB10" s="1"/>
  <c r="M11"/>
  <c r="N11"/>
  <c r="O11"/>
  <c r="P11"/>
  <c r="Q11"/>
  <c r="R11"/>
  <c r="S11"/>
  <c r="T11"/>
  <c r="U11"/>
  <c r="V11"/>
  <c r="W11"/>
  <c r="X11"/>
  <c r="Y11" s="1"/>
  <c r="Z11" s="1"/>
  <c r="AA11" s="1"/>
  <c r="AB11" s="1"/>
  <c r="M12"/>
  <c r="N12"/>
  <c r="O12"/>
  <c r="P12"/>
  <c r="Q12"/>
  <c r="R12"/>
  <c r="S12"/>
  <c r="T12"/>
  <c r="U12"/>
  <c r="V12"/>
  <c r="W12"/>
  <c r="X12" s="1"/>
  <c r="Y12" s="1"/>
  <c r="Z12" s="1"/>
  <c r="AA12" s="1"/>
  <c r="AB12" s="1"/>
  <c r="M13"/>
  <c r="N13"/>
  <c r="O13"/>
  <c r="P13"/>
  <c r="Q13"/>
  <c r="R13"/>
  <c r="S13"/>
  <c r="T13"/>
  <c r="U13"/>
  <c r="V13"/>
  <c r="W13"/>
  <c r="X13"/>
  <c r="Y13" s="1"/>
  <c r="Z13" s="1"/>
  <c r="AA13" s="1"/>
  <c r="AB13" s="1"/>
  <c r="M14"/>
  <c r="N14"/>
  <c r="O14"/>
  <c r="P14"/>
  <c r="Q14"/>
  <c r="R14"/>
  <c r="S14"/>
  <c r="T14"/>
  <c r="U14"/>
  <c r="V14"/>
  <c r="W14"/>
  <c r="X14" s="1"/>
  <c r="Y14" s="1"/>
  <c r="Z14" s="1"/>
  <c r="AA14" s="1"/>
  <c r="AB14" s="1"/>
  <c r="M15"/>
  <c r="N15"/>
  <c r="O15"/>
  <c r="P15"/>
  <c r="Q15"/>
  <c r="R15"/>
  <c r="S15"/>
  <c r="T15"/>
  <c r="U15"/>
  <c r="V15"/>
  <c r="W15"/>
  <c r="X15"/>
  <c r="Y15" s="1"/>
  <c r="Z15" s="1"/>
  <c r="AA15" s="1"/>
  <c r="AB15" s="1"/>
  <c r="M16"/>
  <c r="N16"/>
  <c r="O16"/>
  <c r="P16"/>
  <c r="Q16"/>
  <c r="R16"/>
  <c r="S16"/>
  <c r="T16"/>
  <c r="U16"/>
  <c r="V16"/>
  <c r="W16"/>
  <c r="X16" s="1"/>
  <c r="Y16" s="1"/>
  <c r="Z16" s="1"/>
  <c r="AA16" s="1"/>
  <c r="AB16" s="1"/>
  <c r="M17"/>
  <c r="N17"/>
  <c r="O17"/>
  <c r="P17"/>
  <c r="Q17"/>
  <c r="R17"/>
  <c r="S17"/>
  <c r="T17"/>
  <c r="U17"/>
  <c r="V17"/>
  <c r="W17"/>
  <c r="X17"/>
  <c r="Y17" s="1"/>
  <c r="Z17" s="1"/>
  <c r="AA17" s="1"/>
  <c r="AB17" s="1"/>
  <c r="M18"/>
  <c r="N18"/>
  <c r="O18"/>
  <c r="P18"/>
  <c r="Q18"/>
  <c r="R18"/>
  <c r="S18"/>
  <c r="T18"/>
  <c r="U18"/>
  <c r="V18"/>
  <c r="W18"/>
  <c r="X18" s="1"/>
  <c r="Y18" s="1"/>
  <c r="Z18" s="1"/>
  <c r="AA18" s="1"/>
  <c r="AB18" s="1"/>
  <c r="M19"/>
  <c r="N19"/>
  <c r="O19"/>
  <c r="P19"/>
  <c r="Q19"/>
  <c r="R19"/>
  <c r="S19"/>
  <c r="T19"/>
  <c r="U19"/>
  <c r="V19"/>
  <c r="W19"/>
  <c r="X19"/>
  <c r="Y19" s="1"/>
  <c r="Z19" s="1"/>
  <c r="AA19" s="1"/>
  <c r="AB19" s="1"/>
  <c r="M20"/>
  <c r="N20"/>
  <c r="O20"/>
  <c r="P20"/>
  <c r="Q20"/>
  <c r="R20"/>
  <c r="S20"/>
  <c r="T20"/>
  <c r="U20"/>
  <c r="V20"/>
  <c r="W20"/>
  <c r="X20" s="1"/>
  <c r="Y20" s="1"/>
  <c r="Z20" s="1"/>
  <c r="AA20" s="1"/>
  <c r="AB20" s="1"/>
  <c r="M21"/>
  <c r="N21"/>
  <c r="O21"/>
  <c r="P21"/>
  <c r="Q21"/>
  <c r="R21"/>
  <c r="S21"/>
  <c r="T21"/>
  <c r="U21"/>
  <c r="V21"/>
  <c r="W21"/>
  <c r="X21"/>
  <c r="Y21" s="1"/>
  <c r="Z21" s="1"/>
  <c r="AA21" s="1"/>
  <c r="AB21" s="1"/>
  <c r="M22"/>
  <c r="N22"/>
  <c r="O22"/>
  <c r="P22"/>
  <c r="Q22"/>
  <c r="R22"/>
  <c r="S22"/>
  <c r="T22"/>
  <c r="U22"/>
  <c r="V22"/>
  <c r="W22"/>
  <c r="X22" s="1"/>
  <c r="Y22" s="1"/>
  <c r="Z22" s="1"/>
  <c r="AA22" s="1"/>
  <c r="AB22" s="1"/>
  <c r="M23"/>
  <c r="N23"/>
  <c r="O23"/>
  <c r="P23"/>
  <c r="Q23"/>
  <c r="R23"/>
  <c r="S23"/>
  <c r="T23"/>
  <c r="U23"/>
  <c r="V23"/>
  <c r="W23"/>
  <c r="X23"/>
  <c r="Y23" s="1"/>
  <c r="Z23" s="1"/>
  <c r="AA23" s="1"/>
  <c r="AB23" s="1"/>
  <c r="M24"/>
  <c r="N24"/>
  <c r="O24"/>
  <c r="P24"/>
  <c r="Q24"/>
  <c r="R24"/>
  <c r="S24"/>
  <c r="T24"/>
  <c r="U24"/>
  <c r="V24"/>
  <c r="W24"/>
  <c r="X24" s="1"/>
  <c r="Y24" s="1"/>
  <c r="Z24" s="1"/>
  <c r="AA24" s="1"/>
  <c r="AB24" s="1"/>
  <c r="M25"/>
  <c r="N25"/>
  <c r="O25"/>
  <c r="P25"/>
  <c r="Q25"/>
  <c r="R25"/>
  <c r="S25"/>
  <c r="T25"/>
  <c r="U25"/>
  <c r="V25"/>
  <c r="W25"/>
  <c r="X25"/>
  <c r="Y25" s="1"/>
  <c r="Z25" s="1"/>
  <c r="AA25" s="1"/>
  <c r="AB25" s="1"/>
  <c r="M26"/>
  <c r="N26"/>
  <c r="O26"/>
  <c r="P26"/>
  <c r="Q26"/>
  <c r="R26"/>
  <c r="S26"/>
  <c r="T26"/>
  <c r="U26"/>
  <c r="V26"/>
  <c r="W26"/>
  <c r="X26" s="1"/>
  <c r="Y26" s="1"/>
  <c r="Z26" s="1"/>
  <c r="AA26" s="1"/>
  <c r="AB26" s="1"/>
  <c r="M27"/>
  <c r="N27"/>
  <c r="O27"/>
  <c r="P27"/>
  <c r="Q27"/>
  <c r="R27"/>
  <c r="S27"/>
  <c r="T27"/>
  <c r="U27"/>
  <c r="V27"/>
  <c r="W27"/>
  <c r="X27"/>
  <c r="Y27" s="1"/>
  <c r="Z27" s="1"/>
  <c r="AA27" s="1"/>
  <c r="AB27" s="1"/>
  <c r="M28"/>
  <c r="N28"/>
  <c r="O28"/>
  <c r="P28"/>
  <c r="Q28"/>
  <c r="R28"/>
  <c r="S28"/>
  <c r="T28"/>
  <c r="U28"/>
  <c r="V28"/>
  <c r="W28"/>
  <c r="X28" s="1"/>
  <c r="Y28" s="1"/>
  <c r="Z28" s="1"/>
  <c r="AA28" s="1"/>
  <c r="AB28" s="1"/>
  <c r="M29"/>
  <c r="N29"/>
  <c r="O29"/>
  <c r="P29"/>
  <c r="Q29"/>
  <c r="R29"/>
  <c r="S29"/>
  <c r="T29"/>
  <c r="U29"/>
  <c r="V29"/>
  <c r="W29"/>
  <c r="X29"/>
  <c r="Y29" s="1"/>
  <c r="Z29" s="1"/>
  <c r="AA29" s="1"/>
  <c r="AB29" s="1"/>
  <c r="M30"/>
  <c r="N30"/>
  <c r="O30"/>
  <c r="P30"/>
  <c r="Q30"/>
  <c r="R30"/>
  <c r="S30"/>
  <c r="T30"/>
  <c r="U30"/>
  <c r="V30"/>
  <c r="W30"/>
  <c r="X30" s="1"/>
  <c r="Y30" s="1"/>
  <c r="Z30" s="1"/>
  <c r="AA30" s="1"/>
  <c r="AB30" s="1"/>
  <c r="M31"/>
  <c r="N31"/>
  <c r="O31"/>
  <c r="P31"/>
  <c r="Q31"/>
  <c r="R31"/>
  <c r="S31"/>
  <c r="T31"/>
  <c r="U31"/>
  <c r="V31"/>
  <c r="W31"/>
  <c r="X31"/>
  <c r="Y31" s="1"/>
  <c r="Z31" s="1"/>
  <c r="AA31" s="1"/>
  <c r="AB31" s="1"/>
  <c r="M32"/>
  <c r="N32"/>
  <c r="O32"/>
  <c r="P32"/>
  <c r="Q32"/>
  <c r="R32"/>
  <c r="S32"/>
  <c r="T32"/>
  <c r="U32"/>
  <c r="V32"/>
  <c r="W32"/>
  <c r="X32" s="1"/>
  <c r="Y32" s="1"/>
  <c r="Z32" s="1"/>
  <c r="AA32" s="1"/>
  <c r="AB32" s="1"/>
  <c r="M33"/>
  <c r="N33"/>
  <c r="O33"/>
  <c r="P33"/>
  <c r="Q33"/>
  <c r="R33"/>
  <c r="S33"/>
  <c r="T33"/>
  <c r="U33"/>
  <c r="V33"/>
  <c r="W33"/>
  <c r="X33"/>
  <c r="Y33" s="1"/>
  <c r="Z33" s="1"/>
  <c r="AA33" s="1"/>
  <c r="AB33" s="1"/>
  <c r="M34"/>
  <c r="N34"/>
  <c r="O34"/>
  <c r="P34"/>
  <c r="Q34"/>
  <c r="R34"/>
  <c r="S34"/>
  <c r="T34"/>
  <c r="U34"/>
  <c r="V34"/>
  <c r="W34"/>
  <c r="X34" s="1"/>
  <c r="Y34" s="1"/>
  <c r="Z34" s="1"/>
  <c r="AA34" s="1"/>
  <c r="AB34" s="1"/>
  <c r="M35"/>
  <c r="N35"/>
  <c r="O35"/>
  <c r="P35"/>
  <c r="Q35"/>
  <c r="R35"/>
  <c r="S35"/>
  <c r="T35"/>
  <c r="U35"/>
  <c r="V35"/>
  <c r="W35"/>
  <c r="X35"/>
  <c r="Y35" s="1"/>
  <c r="Z35" s="1"/>
  <c r="AA35" s="1"/>
  <c r="AB35" s="1"/>
  <c r="M36"/>
  <c r="N36"/>
  <c r="O36"/>
  <c r="P36"/>
  <c r="Q36"/>
  <c r="R36"/>
  <c r="S36"/>
  <c r="T36"/>
  <c r="U36"/>
  <c r="V36"/>
  <c r="W36"/>
  <c r="X36" s="1"/>
  <c r="Y36" s="1"/>
  <c r="Z36" s="1"/>
  <c r="AA36" s="1"/>
  <c r="AB36" s="1"/>
  <c r="M37"/>
  <c r="N37"/>
  <c r="O37"/>
  <c r="P37"/>
  <c r="Q37"/>
  <c r="R37"/>
  <c r="S37"/>
  <c r="T37"/>
  <c r="U37"/>
  <c r="V37"/>
  <c r="W37"/>
  <c r="X37"/>
  <c r="Y37" s="1"/>
  <c r="Z37" s="1"/>
  <c r="AA37" s="1"/>
  <c r="AB37" s="1"/>
  <c r="M38"/>
  <c r="N38"/>
  <c r="O38"/>
  <c r="P38"/>
  <c r="Q38"/>
  <c r="R38"/>
  <c r="S38"/>
  <c r="T38"/>
  <c r="U38"/>
  <c r="V38"/>
  <c r="W38"/>
  <c r="X38" s="1"/>
  <c r="Y38" s="1"/>
  <c r="Z38" s="1"/>
  <c r="AA38" s="1"/>
  <c r="AB38" s="1"/>
  <c r="M39"/>
  <c r="N39"/>
  <c r="O39"/>
  <c r="P39"/>
  <c r="Q39"/>
  <c r="R39"/>
  <c r="S39"/>
  <c r="T39"/>
  <c r="U39"/>
  <c r="V39"/>
  <c r="W39"/>
  <c r="X39"/>
  <c r="Y39" s="1"/>
  <c r="Z39" s="1"/>
  <c r="AA39" s="1"/>
  <c r="AB39" s="1"/>
  <c r="M40"/>
  <c r="N40"/>
  <c r="O40"/>
  <c r="P40"/>
  <c r="Q40"/>
  <c r="R40"/>
  <c r="S40"/>
  <c r="T40"/>
  <c r="U40"/>
  <c r="V40"/>
  <c r="W40"/>
  <c r="X40" s="1"/>
  <c r="Y40" s="1"/>
  <c r="Z40" s="1"/>
  <c r="AA40" s="1"/>
  <c r="AB40" s="1"/>
  <c r="M41"/>
  <c r="N41"/>
  <c r="O41"/>
  <c r="P41"/>
  <c r="Q41"/>
  <c r="R41"/>
  <c r="S41"/>
  <c r="T41"/>
  <c r="U41"/>
  <c r="V41"/>
  <c r="W41"/>
  <c r="X41"/>
  <c r="Y41" s="1"/>
  <c r="Z41" s="1"/>
  <c r="AA41" s="1"/>
  <c r="AB41" s="1"/>
  <c r="M42"/>
  <c r="N42"/>
  <c r="O42"/>
  <c r="P42"/>
  <c r="Q42"/>
  <c r="R42"/>
  <c r="S42"/>
  <c r="T42"/>
  <c r="U42"/>
  <c r="V42"/>
  <c r="W42"/>
  <c r="X42" s="1"/>
  <c r="Y42" s="1"/>
  <c r="Z42" s="1"/>
  <c r="AA42" s="1"/>
  <c r="AB42" s="1"/>
  <c r="M43"/>
  <c r="N43"/>
  <c r="O43"/>
  <c r="P43"/>
  <c r="Q43"/>
  <c r="R43"/>
  <c r="S43"/>
  <c r="T43"/>
  <c r="U43"/>
  <c r="V43"/>
  <c r="W43"/>
  <c r="X43"/>
  <c r="Y43" s="1"/>
  <c r="Z43" s="1"/>
  <c r="AA43" s="1"/>
  <c r="AB43" s="1"/>
  <c r="M44"/>
  <c r="N44"/>
  <c r="O44"/>
  <c r="P44"/>
  <c r="Q44"/>
  <c r="R44"/>
  <c r="S44"/>
  <c r="T44"/>
  <c r="U44"/>
  <c r="V44"/>
  <c r="W44"/>
  <c r="X44" s="1"/>
  <c r="Y44" s="1"/>
  <c r="Z44" s="1"/>
  <c r="AA44" s="1"/>
  <c r="AB44" s="1"/>
  <c r="M45"/>
  <c r="N45"/>
  <c r="O45"/>
  <c r="P45"/>
  <c r="Q45"/>
  <c r="R45"/>
  <c r="S45"/>
  <c r="T45"/>
  <c r="U45"/>
  <c r="V45"/>
  <c r="W45"/>
  <c r="X45"/>
  <c r="Y45" s="1"/>
  <c r="Z45" s="1"/>
  <c r="AA45" s="1"/>
  <c r="AB45" s="1"/>
  <c r="M46"/>
  <c r="N46"/>
  <c r="O46"/>
  <c r="P46"/>
  <c r="Q46"/>
  <c r="R46"/>
  <c r="S46"/>
  <c r="T46"/>
  <c r="U46"/>
  <c r="V46"/>
  <c r="W46"/>
  <c r="X46"/>
  <c r="Y46" s="1"/>
  <c r="Z46" s="1"/>
  <c r="AA46" s="1"/>
  <c r="AB46" s="1"/>
  <c r="M47"/>
  <c r="N47"/>
  <c r="O47"/>
  <c r="P47"/>
  <c r="Q47"/>
  <c r="R47"/>
  <c r="S47"/>
  <c r="T47"/>
  <c r="U47"/>
  <c r="V47"/>
  <c r="W47"/>
  <c r="X47"/>
  <c r="Y47" s="1"/>
  <c r="Z47" s="1"/>
  <c r="AA47" s="1"/>
  <c r="AB47" s="1"/>
  <c r="M48"/>
  <c r="N48"/>
  <c r="O48"/>
  <c r="P48"/>
  <c r="Q48"/>
  <c r="R48"/>
  <c r="S48"/>
  <c r="T48"/>
  <c r="U48"/>
  <c r="V48"/>
  <c r="W48"/>
  <c r="X48"/>
  <c r="Y48" s="1"/>
  <c r="Z48" s="1"/>
  <c r="AA48" s="1"/>
  <c r="AB48" s="1"/>
  <c r="M49"/>
  <c r="N49"/>
  <c r="O49"/>
  <c r="P49"/>
  <c r="Q49"/>
  <c r="R49"/>
  <c r="S49"/>
  <c r="T49"/>
  <c r="U49"/>
  <c r="V49"/>
  <c r="W49"/>
  <c r="X49"/>
  <c r="Y49" s="1"/>
  <c r="Z49" s="1"/>
  <c r="AA49" s="1"/>
  <c r="AB49" s="1"/>
  <c r="M50"/>
  <c r="N50"/>
  <c r="O50"/>
  <c r="P50"/>
  <c r="Q50"/>
  <c r="R50"/>
  <c r="S50"/>
  <c r="T50"/>
  <c r="U50"/>
  <c r="V50"/>
  <c r="W50"/>
  <c r="X50"/>
  <c r="Y50" s="1"/>
  <c r="Z50" s="1"/>
  <c r="AA50" s="1"/>
  <c r="AB50" s="1"/>
  <c r="M51"/>
  <c r="N51"/>
  <c r="O51"/>
  <c r="P51"/>
  <c r="Q51"/>
  <c r="R51"/>
  <c r="S51"/>
  <c r="T51"/>
  <c r="U51"/>
  <c r="V51"/>
  <c r="W51"/>
  <c r="X51"/>
  <c r="Y51" s="1"/>
  <c r="Z51" s="1"/>
  <c r="AA51" s="1"/>
  <c r="AB51" s="1"/>
  <c r="M52"/>
  <c r="N52"/>
  <c r="O52"/>
  <c r="P52"/>
  <c r="Q52"/>
  <c r="R52"/>
  <c r="S52"/>
  <c r="T52"/>
  <c r="U52"/>
  <c r="V52"/>
  <c r="W52"/>
  <c r="X52"/>
  <c r="Y52" s="1"/>
  <c r="Z52" s="1"/>
  <c r="AA52" s="1"/>
  <c r="AB52" s="1"/>
  <c r="M53"/>
  <c r="N53"/>
  <c r="O53"/>
  <c r="P53"/>
  <c r="Q53"/>
  <c r="R53"/>
  <c r="S53"/>
  <c r="T53"/>
  <c r="U53"/>
  <c r="V53"/>
  <c r="W53"/>
  <c r="X53"/>
  <c r="Y53" s="1"/>
  <c r="Z53" s="1"/>
  <c r="AA53" s="1"/>
  <c r="AB53" s="1"/>
  <c r="M54"/>
  <c r="N54"/>
  <c r="O54"/>
  <c r="P54"/>
  <c r="Q54"/>
  <c r="R54"/>
  <c r="S54"/>
  <c r="T54"/>
  <c r="U54"/>
  <c r="V54"/>
  <c r="W54"/>
  <c r="X54"/>
  <c r="Y54" s="1"/>
  <c r="Z54" s="1"/>
  <c r="AA54" s="1"/>
  <c r="AB54" s="1"/>
  <c r="M55"/>
  <c r="N55"/>
  <c r="O55"/>
  <c r="P55"/>
  <c r="Q55"/>
  <c r="R55"/>
  <c r="S55"/>
  <c r="T55"/>
  <c r="U55"/>
  <c r="V55"/>
  <c r="W55"/>
  <c r="X55"/>
  <c r="Y55" s="1"/>
  <c r="Z55" s="1"/>
  <c r="AA55" s="1"/>
  <c r="AB55" s="1"/>
  <c r="M56"/>
  <c r="N56"/>
  <c r="O56"/>
  <c r="P56"/>
  <c r="Q56"/>
  <c r="R56"/>
  <c r="S56"/>
  <c r="T56"/>
  <c r="U56"/>
  <c r="V56"/>
  <c r="W56"/>
  <c r="X56"/>
  <c r="Y56" s="1"/>
  <c r="Z56" s="1"/>
  <c r="AA56" s="1"/>
  <c r="AB56" s="1"/>
  <c r="M57"/>
  <c r="N57"/>
  <c r="O57"/>
  <c r="P57"/>
  <c r="Q57"/>
  <c r="R57"/>
  <c r="S57"/>
  <c r="T57"/>
  <c r="U57"/>
  <c r="V57"/>
  <c r="W57"/>
  <c r="X57"/>
  <c r="Y57" s="1"/>
  <c r="Z57" s="1"/>
  <c r="AA57" s="1"/>
  <c r="AB57" s="1"/>
  <c r="M58"/>
  <c r="N58"/>
  <c r="O58"/>
  <c r="P58"/>
  <c r="Q58"/>
  <c r="R58"/>
  <c r="S58"/>
  <c r="T58"/>
  <c r="U58"/>
  <c r="V58"/>
  <c r="W58"/>
  <c r="X58"/>
  <c r="Y58" s="1"/>
  <c r="Z58" s="1"/>
  <c r="AA58" s="1"/>
  <c r="AB58" s="1"/>
  <c r="M59"/>
  <c r="N59"/>
  <c r="O59"/>
  <c r="P59"/>
  <c r="Q59"/>
  <c r="R59"/>
  <c r="S59"/>
  <c r="T59"/>
  <c r="U59"/>
  <c r="V59"/>
  <c r="W59"/>
  <c r="X59"/>
  <c r="Y59" s="1"/>
  <c r="Z59" s="1"/>
  <c r="AA59" s="1"/>
  <c r="AB59" s="1"/>
  <c r="M60"/>
  <c r="N60"/>
  <c r="O60"/>
  <c r="P60"/>
  <c r="Q60"/>
  <c r="R60"/>
  <c r="S60"/>
  <c r="T60"/>
  <c r="U60"/>
  <c r="V60"/>
  <c r="W60"/>
  <c r="X60"/>
  <c r="Y60" s="1"/>
  <c r="Z60" s="1"/>
  <c r="AA60" s="1"/>
  <c r="AB60" s="1"/>
  <c r="M61"/>
  <c r="N61"/>
  <c r="O61"/>
  <c r="P61"/>
  <c r="Q61"/>
  <c r="R61"/>
  <c r="S61"/>
  <c r="T61"/>
  <c r="U61"/>
  <c r="V61"/>
  <c r="W61"/>
  <c r="X61"/>
  <c r="Y61" s="1"/>
  <c r="Z61" s="1"/>
  <c r="AA61" s="1"/>
  <c r="AB61" s="1"/>
  <c r="M62"/>
  <c r="N62"/>
  <c r="O62"/>
  <c r="P62"/>
  <c r="Q62"/>
  <c r="R62"/>
  <c r="S62"/>
  <c r="T62"/>
  <c r="U62"/>
  <c r="V62"/>
  <c r="W62"/>
  <c r="X62"/>
  <c r="Y62" s="1"/>
  <c r="Z62" s="1"/>
  <c r="AA62" s="1"/>
  <c r="AB62" s="1"/>
  <c r="M63"/>
  <c r="N63"/>
  <c r="O63"/>
  <c r="P63"/>
  <c r="Q63"/>
  <c r="R63"/>
  <c r="S63"/>
  <c r="T63"/>
  <c r="U63"/>
  <c r="V63"/>
  <c r="W63"/>
  <c r="X63"/>
  <c r="Y63" s="1"/>
  <c r="Z63" s="1"/>
  <c r="AA63" s="1"/>
  <c r="AB63" s="1"/>
  <c r="M64"/>
  <c r="N64"/>
  <c r="O64"/>
  <c r="P64"/>
  <c r="Q64"/>
  <c r="R64"/>
  <c r="S64"/>
  <c r="T64"/>
  <c r="U64"/>
  <c r="V64"/>
  <c r="W64"/>
  <c r="X64"/>
  <c r="Y64" s="1"/>
  <c r="Z64" s="1"/>
  <c r="AA64" s="1"/>
  <c r="AB64" s="1"/>
  <c r="M65"/>
  <c r="N65"/>
  <c r="O65"/>
  <c r="P65"/>
  <c r="Q65"/>
  <c r="R65"/>
  <c r="S65"/>
  <c r="T65"/>
  <c r="U65"/>
  <c r="V65"/>
  <c r="W65"/>
  <c r="X65"/>
  <c r="Y65" s="1"/>
  <c r="Z65" s="1"/>
  <c r="AA65" s="1"/>
  <c r="AB65" s="1"/>
  <c r="M66"/>
  <c r="N66"/>
  <c r="O66"/>
  <c r="P66"/>
  <c r="Q66"/>
  <c r="R66"/>
  <c r="S66"/>
  <c r="T66"/>
  <c r="U66"/>
  <c r="V66"/>
  <c r="W66"/>
  <c r="X66"/>
  <c r="Y66" s="1"/>
  <c r="Z66" s="1"/>
  <c r="AA66" s="1"/>
  <c r="AB66" s="1"/>
  <c r="M67"/>
  <c r="N67"/>
  <c r="O67"/>
  <c r="P67"/>
  <c r="Q67"/>
  <c r="R67"/>
  <c r="S67"/>
  <c r="T67"/>
  <c r="U67"/>
  <c r="V67"/>
  <c r="W67"/>
  <c r="X67"/>
  <c r="Y67" s="1"/>
  <c r="Z67" s="1"/>
  <c r="AA67" s="1"/>
  <c r="AB67" s="1"/>
  <c r="M68"/>
  <c r="N68"/>
  <c r="O68"/>
  <c r="P68"/>
  <c r="Q68"/>
  <c r="R68"/>
  <c r="S68"/>
  <c r="T68"/>
  <c r="U68"/>
  <c r="V68"/>
  <c r="W68"/>
  <c r="X68"/>
  <c r="Y68" s="1"/>
  <c r="Z68" s="1"/>
  <c r="AA68" s="1"/>
  <c r="AB68" s="1"/>
  <c r="M69"/>
  <c r="N69"/>
  <c r="O69"/>
  <c r="P69"/>
  <c r="Q69"/>
  <c r="R69"/>
  <c r="S69"/>
  <c r="T69"/>
  <c r="U69"/>
  <c r="V69"/>
  <c r="W69"/>
  <c r="X69"/>
  <c r="Y69" s="1"/>
  <c r="Z69" s="1"/>
  <c r="AA69" s="1"/>
  <c r="AB69" s="1"/>
  <c r="M70"/>
  <c r="N70"/>
  <c r="O70"/>
  <c r="P70"/>
  <c r="Q70"/>
  <c r="R70"/>
  <c r="S70"/>
  <c r="T70"/>
  <c r="U70"/>
  <c r="V70"/>
  <c r="W70"/>
  <c r="X70"/>
  <c r="Y70" s="1"/>
  <c r="Z70" s="1"/>
  <c r="AA70" s="1"/>
  <c r="AB70" s="1"/>
  <c r="M71"/>
  <c r="N71"/>
  <c r="O71"/>
  <c r="P71"/>
  <c r="Q71"/>
  <c r="R71"/>
  <c r="S71"/>
  <c r="T71"/>
  <c r="U71"/>
  <c r="V71"/>
  <c r="W71"/>
  <c r="X71"/>
  <c r="Y71" s="1"/>
  <c r="Z71" s="1"/>
  <c r="AA71" s="1"/>
  <c r="AB71" s="1"/>
  <c r="M72"/>
  <c r="N72"/>
  <c r="O72"/>
  <c r="P72"/>
  <c r="Q72"/>
  <c r="R72"/>
  <c r="S72"/>
  <c r="T72"/>
  <c r="U72"/>
  <c r="V72"/>
  <c r="W72"/>
  <c r="X72"/>
  <c r="Y72" s="1"/>
  <c r="Z72" s="1"/>
  <c r="AA72" s="1"/>
  <c r="AB72" s="1"/>
  <c r="M73"/>
  <c r="N73"/>
  <c r="O73"/>
  <c r="P73"/>
  <c r="Q73"/>
  <c r="R73"/>
  <c r="S73"/>
  <c r="T73"/>
  <c r="U73"/>
  <c r="V73"/>
  <c r="W73"/>
  <c r="X73"/>
  <c r="Y73" s="1"/>
  <c r="Z73" s="1"/>
  <c r="AA73" s="1"/>
  <c r="AB73" s="1"/>
  <c r="M74"/>
  <c r="N74"/>
  <c r="O74"/>
  <c r="P74"/>
  <c r="Q74"/>
  <c r="R74"/>
  <c r="S74"/>
  <c r="T74"/>
  <c r="U74"/>
  <c r="V74"/>
  <c r="W74"/>
  <c r="X74"/>
  <c r="Y74" s="1"/>
  <c r="Z74" s="1"/>
  <c r="AA74" s="1"/>
  <c r="AB74" s="1"/>
  <c r="M75"/>
  <c r="N75"/>
  <c r="O75"/>
  <c r="P75"/>
  <c r="Q75"/>
  <c r="R75"/>
  <c r="S75"/>
  <c r="T75"/>
  <c r="U75"/>
  <c r="V75"/>
  <c r="W75"/>
  <c r="X75"/>
  <c r="Y75" s="1"/>
  <c r="Z75" s="1"/>
  <c r="AA75" s="1"/>
  <c r="AB75" s="1"/>
  <c r="M76"/>
  <c r="N76"/>
  <c r="O76"/>
  <c r="P76"/>
  <c r="Q76"/>
  <c r="R76"/>
  <c r="S76"/>
  <c r="T76"/>
  <c r="U76"/>
  <c r="V76"/>
  <c r="W76"/>
  <c r="X76"/>
  <c r="Y76" s="1"/>
  <c r="Z76" s="1"/>
  <c r="AA76" s="1"/>
  <c r="AB76" s="1"/>
  <c r="M77"/>
  <c r="N77"/>
  <c r="O77"/>
  <c r="P77"/>
  <c r="Q77"/>
  <c r="R77"/>
  <c r="S77"/>
  <c r="T77"/>
  <c r="U77"/>
  <c r="V77"/>
  <c r="W77"/>
  <c r="X77"/>
  <c r="Y77" s="1"/>
  <c r="Z77" s="1"/>
  <c r="AA77" s="1"/>
  <c r="AB77" s="1"/>
  <c r="M78"/>
  <c r="N78"/>
  <c r="O78"/>
  <c r="P78"/>
  <c r="Q78"/>
  <c r="R78"/>
  <c r="S78"/>
  <c r="T78"/>
  <c r="U78"/>
  <c r="V78"/>
  <c r="W78"/>
  <c r="X78"/>
  <c r="Y78" s="1"/>
  <c r="Z78" s="1"/>
  <c r="AA78" s="1"/>
  <c r="AB78" s="1"/>
  <c r="M79"/>
  <c r="N79"/>
  <c r="O79"/>
  <c r="P79"/>
  <c r="Q79"/>
  <c r="R79"/>
  <c r="S79"/>
  <c r="T79"/>
  <c r="U79"/>
  <c r="V79"/>
  <c r="W79"/>
  <c r="X79"/>
  <c r="Y79" s="1"/>
  <c r="Z79" s="1"/>
  <c r="AA79" s="1"/>
  <c r="AB79" s="1"/>
  <c r="M80"/>
  <c r="N80"/>
  <c r="O80"/>
  <c r="P80"/>
  <c r="Q80"/>
  <c r="R80"/>
  <c r="S80"/>
  <c r="T80"/>
  <c r="U80"/>
  <c r="V80"/>
  <c r="W80"/>
  <c r="X80"/>
  <c r="Y80" s="1"/>
  <c r="Z80" s="1"/>
  <c r="AA80" s="1"/>
  <c r="AB80" s="1"/>
  <c r="M81"/>
  <c r="N81"/>
  <c r="O81"/>
  <c r="P81"/>
  <c r="Q81"/>
  <c r="R81"/>
  <c r="S81"/>
  <c r="T81"/>
  <c r="U81"/>
  <c r="V81"/>
  <c r="W81"/>
  <c r="X81"/>
  <c r="Y81" s="1"/>
  <c r="Z81" s="1"/>
  <c r="AA81" s="1"/>
  <c r="AB81" s="1"/>
  <c r="M82"/>
  <c r="N82"/>
  <c r="O82"/>
  <c r="P82"/>
  <c r="Q82"/>
  <c r="R82"/>
  <c r="S82"/>
  <c r="T82"/>
  <c r="U82"/>
  <c r="V82"/>
  <c r="W82"/>
  <c r="X82"/>
  <c r="Y82" s="1"/>
  <c r="Z82" s="1"/>
  <c r="AA82" s="1"/>
  <c r="AB82" s="1"/>
  <c r="M83"/>
  <c r="N83"/>
  <c r="O83"/>
  <c r="P83"/>
  <c r="Q83"/>
  <c r="R83"/>
  <c r="S83"/>
  <c r="T83"/>
  <c r="U83"/>
  <c r="V83"/>
  <c r="W83"/>
  <c r="X83"/>
  <c r="Y83" s="1"/>
  <c r="Z83" s="1"/>
  <c r="AA83" s="1"/>
  <c r="AB83" s="1"/>
  <c r="M84"/>
  <c r="N84"/>
  <c r="O84"/>
  <c r="P84"/>
  <c r="Q84"/>
  <c r="R84"/>
  <c r="S84"/>
  <c r="T84"/>
  <c r="U84"/>
  <c r="V84"/>
  <c r="W84"/>
  <c r="X84"/>
  <c r="Y84" s="1"/>
  <c r="Z84" s="1"/>
  <c r="AA84" s="1"/>
  <c r="AB84" s="1"/>
  <c r="M85"/>
  <c r="N85"/>
  <c r="O85"/>
  <c r="P85"/>
  <c r="Q85"/>
  <c r="R85"/>
  <c r="S85"/>
  <c r="T85"/>
  <c r="U85"/>
  <c r="V85"/>
  <c r="W85"/>
  <c r="X85"/>
  <c r="Y85" s="1"/>
  <c r="Z85" s="1"/>
  <c r="AA85" s="1"/>
  <c r="AB85" s="1"/>
  <c r="M86"/>
  <c r="N86"/>
  <c r="O86"/>
  <c r="P86"/>
  <c r="Q86"/>
  <c r="R86"/>
  <c r="S86"/>
  <c r="T86"/>
  <c r="U86"/>
  <c r="V86"/>
  <c r="W86"/>
  <c r="X86"/>
  <c r="Y86" s="1"/>
  <c r="Z86" s="1"/>
  <c r="AA86" s="1"/>
  <c r="AB86" s="1"/>
  <c r="M87"/>
  <c r="N87"/>
  <c r="O87"/>
  <c r="P87"/>
  <c r="Q87"/>
  <c r="R87"/>
  <c r="S87"/>
  <c r="T87"/>
  <c r="U87"/>
  <c r="V87"/>
  <c r="W87"/>
  <c r="X87"/>
  <c r="Y87" s="1"/>
  <c r="Z87" s="1"/>
  <c r="AA87" s="1"/>
  <c r="AB87" s="1"/>
  <c r="M88"/>
  <c r="N88"/>
  <c r="O88"/>
  <c r="P88"/>
  <c r="Q88"/>
  <c r="R88"/>
  <c r="S88"/>
  <c r="T88"/>
  <c r="U88"/>
  <c r="V88"/>
  <c r="W88"/>
  <c r="X88"/>
  <c r="Y88" s="1"/>
  <c r="Z88" s="1"/>
  <c r="AA88" s="1"/>
  <c r="AB88" s="1"/>
  <c r="M89"/>
  <c r="N89"/>
  <c r="O89"/>
  <c r="P89"/>
  <c r="Q89"/>
  <c r="R89"/>
  <c r="S89"/>
  <c r="T89"/>
  <c r="U89"/>
  <c r="V89"/>
  <c r="W89"/>
  <c r="X89"/>
  <c r="Y89" s="1"/>
  <c r="Z89" s="1"/>
  <c r="AA89" s="1"/>
  <c r="AB89" s="1"/>
  <c r="M90"/>
  <c r="N90"/>
  <c r="O90"/>
  <c r="P90"/>
  <c r="Q90"/>
  <c r="R90"/>
  <c r="S90"/>
  <c r="T90"/>
  <c r="U90"/>
  <c r="V90"/>
  <c r="W90"/>
  <c r="X90"/>
  <c r="Y90" s="1"/>
  <c r="Z90" s="1"/>
  <c r="AA90" s="1"/>
  <c r="AB90" s="1"/>
  <c r="M91"/>
  <c r="N91"/>
  <c r="O91"/>
  <c r="P91"/>
  <c r="Q91"/>
  <c r="R91"/>
  <c r="S91"/>
  <c r="T91"/>
  <c r="U91"/>
  <c r="V91"/>
  <c r="W91"/>
  <c r="X91"/>
  <c r="Y91" s="1"/>
  <c r="Z91" s="1"/>
  <c r="AA91" s="1"/>
  <c r="AB91" s="1"/>
  <c r="M92"/>
  <c r="N92"/>
  <c r="O92"/>
  <c r="P92"/>
  <c r="Q92"/>
  <c r="R92"/>
  <c r="S92"/>
  <c r="T92"/>
  <c r="U92"/>
  <c r="V92"/>
  <c r="W92"/>
  <c r="X92"/>
  <c r="Y92" s="1"/>
  <c r="Z92" s="1"/>
  <c r="AA92" s="1"/>
  <c r="AB92" s="1"/>
  <c r="M93"/>
  <c r="N93"/>
  <c r="O93"/>
  <c r="P93"/>
  <c r="Q93"/>
  <c r="R93"/>
  <c r="S93"/>
  <c r="T93"/>
  <c r="U93"/>
  <c r="V93"/>
  <c r="W93"/>
  <c r="X93"/>
  <c r="Y93" s="1"/>
  <c r="Z93" s="1"/>
  <c r="AA93" s="1"/>
  <c r="AB93" s="1"/>
  <c r="M94"/>
  <c r="N94"/>
  <c r="O94"/>
  <c r="P94"/>
  <c r="Q94"/>
  <c r="R94"/>
  <c r="S94"/>
  <c r="T94"/>
  <c r="U94"/>
  <c r="V94"/>
  <c r="W94"/>
  <c r="X94"/>
  <c r="Y94" s="1"/>
  <c r="Z94" s="1"/>
  <c r="AA94" s="1"/>
  <c r="AB94" s="1"/>
  <c r="M95"/>
  <c r="N95"/>
  <c r="O95"/>
  <c r="P95"/>
  <c r="Q95"/>
  <c r="R95"/>
  <c r="S95"/>
  <c r="T95"/>
  <c r="U95"/>
  <c r="V95"/>
  <c r="W95"/>
  <c r="X95"/>
  <c r="Y95" s="1"/>
  <c r="Z95" s="1"/>
  <c r="AA95" s="1"/>
  <c r="AB95" s="1"/>
  <c r="M96"/>
  <c r="N96"/>
  <c r="O96"/>
  <c r="P96"/>
  <c r="Q96"/>
  <c r="R96"/>
  <c r="S96"/>
  <c r="T96"/>
  <c r="U96"/>
  <c r="V96"/>
  <c r="W96"/>
  <c r="X96"/>
  <c r="Y96" s="1"/>
  <c r="Z96" s="1"/>
  <c r="AA96" s="1"/>
  <c r="AB96" s="1"/>
  <c r="M97"/>
  <c r="N97"/>
  <c r="O97"/>
  <c r="P97"/>
  <c r="Q97"/>
  <c r="R97"/>
  <c r="S97"/>
  <c r="T97"/>
  <c r="U97"/>
  <c r="V97"/>
  <c r="W97"/>
  <c r="X97"/>
  <c r="Y97" s="1"/>
  <c r="Z97" s="1"/>
  <c r="AA97" s="1"/>
  <c r="AB97" s="1"/>
  <c r="W2"/>
  <c r="X2" s="1"/>
  <c r="Y2" s="1"/>
  <c r="Z2" s="1"/>
  <c r="AA2" s="1"/>
  <c r="AB2" s="1"/>
  <c r="V2"/>
  <c r="U2"/>
  <c r="T2"/>
  <c r="S2"/>
  <c r="R2"/>
  <c r="Q2"/>
  <c r="P2"/>
  <c r="O2"/>
  <c r="N2"/>
  <c r="M2"/>
</calcChain>
</file>

<file path=xl/sharedStrings.xml><?xml version="1.0" encoding="utf-8"?>
<sst xmlns="http://schemas.openxmlformats.org/spreadsheetml/2006/main" count="892" uniqueCount="80">
  <si>
    <t>STATE</t>
  </si>
  <si>
    <t>MAKE</t>
  </si>
  <si>
    <t>MODEL</t>
  </si>
  <si>
    <t>VARIANT</t>
  </si>
  <si>
    <t>CC</t>
  </si>
  <si>
    <t>S_CAP</t>
  </si>
  <si>
    <t>FUEL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</si>
  <si>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</si>
  <si>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</si>
  <si>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</si>
  <si>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</si>
  <si>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</si>
  <si>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</si>
  <si>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</si>
  <si>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</si>
  <si>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</si>
  <si>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</si>
  <si>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</si>
  <si>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</si>
  <si>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</si>
  <si>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</si>
  <si>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</si>
  <si>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</si>
  <si>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</si>
  <si>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</si>
  <si>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</si>
  <si>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</si>
  <si>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</si>
  <si>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</si>
  <si>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</si>
  <si>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</si>
  <si>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</si>
  <si>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</si>
  <si>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</si>
  <si>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</si>
  <si>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</si>
  <si>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</si>
  <si>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</si>
  <si>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UPTO6 MONTHS</t>
  </si>
  <si>
    <t>UPTO1YR</t>
  </si>
  <si>
    <t>UPTO 2YR</t>
  </si>
  <si>
    <t>UPTO 3YR</t>
  </si>
  <si>
    <t>UPTO 4YR</t>
  </si>
  <si>
    <t>UPTO 5YR</t>
  </si>
  <si>
    <t>UPTO6YR</t>
  </si>
  <si>
    <t>UPTO 7YR</t>
  </si>
  <si>
    <t>UPTO 8YR</t>
  </si>
  <si>
    <t>UPTO 9YR</t>
  </si>
  <si>
    <t>UPTO 10YR</t>
  </si>
  <si>
    <t>UPTO11YR</t>
  </si>
  <si>
    <t>UPTO 12YR</t>
  </si>
  <si>
    <t>UPTO 13YR</t>
  </si>
  <si>
    <t>UPTO 14YR</t>
  </si>
  <si>
    <t>UPTO 15YR</t>
  </si>
  <si>
    <t>CODE</t>
  </si>
  <si>
    <t>PRICE</t>
  </si>
  <si>
    <t>ODISHA</t>
  </si>
  <si>
    <t>DIESEL</t>
  </si>
  <si>
    <t>TATA</t>
  </si>
  <si>
    <t>MARUTI</t>
  </si>
  <si>
    <t>PETROL</t>
  </si>
  <si>
    <t>PRTL_14334</t>
  </si>
  <si>
    <t>PRTL_14339</t>
  </si>
  <si>
    <t>PRTL_14341</t>
  </si>
  <si>
    <t>NEXON</t>
  </si>
  <si>
    <t>XL6</t>
  </si>
  <si>
    <t>HYUNDAI</t>
  </si>
  <si>
    <t>CRETA</t>
  </si>
  <si>
    <t>TATA NEXON XZ+ KAZIRANGA BSVI</t>
  </si>
  <si>
    <t>MARUTI XL6 SMART HYBRID ALPHA+ 1.5L 6AT</t>
  </si>
  <si>
    <t>HYUNDAI CRETA 1.5 CRDi MT S+</t>
  </si>
  <si>
    <t>MANUFACTURER CODE</t>
  </si>
  <si>
    <t>PRODUCT CODE</t>
  </si>
  <si>
    <t>FUEL CODE</t>
  </si>
  <si>
    <t>MFT2</t>
  </si>
  <si>
    <t>MFT1</t>
  </si>
  <si>
    <t>VEH_MANF_011</t>
  </si>
  <si>
    <t>VEH_MANF_010</t>
  </si>
  <si>
    <t>VEH_MANF_008</t>
  </si>
  <si>
    <t>MOT-PRD-001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</si>
</sst>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" fontId="3" fillId="2" borderId="1" xfId="1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1" fontId="3" fillId="3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/>
    <xf numFmtId="0" fontId="5" fillId="3" borderId="1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/>
    <xf numFmtId="0" fontId="0" fillId="3" borderId="0" xfId="0" applyFill="1" applyBorder="1" applyAlignment="1">
      <alignment vertical="center"/>
    </xf>
    <xf numFmtId="1" fontId="3" fillId="3" borderId="1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97"/>
  <sheetViews>
    <sheetView tabSelected="1" zoomScale="85" zoomScaleNormal="85" workbookViewId="0">
      <selection activeCell="C7" sqref="C6:C7"/>
    </sheetView>
  </sheetViews>
  <sheetFormatPr defaultRowHeight="15"/>
  <cols>
    <col min="1" max="1" width="25.5703125" bestFit="1" customWidth="1"/>
    <col min="2" max="2" width="23.7109375" customWidth="1"/>
    <col min="3" max="3" width="20.140625" customWidth="1"/>
    <col min="4" max="4" width="9.5703125" bestFit="1" customWidth="1"/>
    <col min="5" max="5" width="9.42578125" bestFit="1" customWidth="1"/>
    <col min="6" max="6" width="36.28515625" customWidth="1"/>
    <col min="7" max="7" width="14.5703125" customWidth="1"/>
    <col min="8" max="8" width="5.140625" bestFit="1" customWidth="1"/>
    <col min="9" max="9" width="7.7109375" bestFit="1" customWidth="1"/>
    <col min="10" max="10" width="10.85546875" bestFit="1" customWidth="1"/>
    <col min="11" max="11" width="12.5703125" customWidth="1"/>
    <col min="12" max="12" width="8.140625" bestFit="1" customWidth="1"/>
    <col min="13" max="13" width="18.7109375" bestFit="1" customWidth="1"/>
    <col min="14" max="14" width="11.140625" bestFit="1" customWidth="1"/>
    <col min="15" max="18" width="11.7109375" bestFit="1" customWidth="1"/>
    <col min="19" max="19" width="11.140625" bestFit="1" customWidth="1"/>
    <col min="20" max="22" width="11.7109375" bestFit="1" customWidth="1"/>
    <col min="23" max="23" width="12.85546875" bestFit="1" customWidth="1"/>
    <col min="24" max="24" width="12.28515625" bestFit="1" customWidth="1"/>
    <col min="25" max="28" width="12.85546875" bestFit="1" customWidth="1"/>
  </cols>
  <sheetData>
    <row r="1" spans="1:28">
      <c r="A1" s="1" t="s">
        <v>0</v>
      </c>
      <c r="B1" s="18" t="s">
        <v>71</v>
      </c>
      <c r="C1" s="11" t="s">
        <v>72</v>
      </c>
      <c r="D1" s="1" t="s">
        <v>1</v>
      </c>
      <c r="E1" s="1" t="s">
        <v>2</v>
      </c>
      <c r="F1" s="1" t="s">
        <v>3</v>
      </c>
      <c r="G1" s="2" t="s">
        <v>54</v>
      </c>
      <c r="H1" s="11" t="s">
        <v>4</v>
      </c>
      <c r="I1" s="1" t="s">
        <v>5</v>
      </c>
      <c r="J1" s="11" t="s">
        <v>6</v>
      </c>
      <c r="K1" s="11" t="s">
        <v>73</v>
      </c>
      <c r="L1" s="1" t="s">
        <v>55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s="4" t="s">
        <v>7</v>
      </c>
      <c r="B2" s="12" t="s">
        <v>76</v>
      </c>
      <c r="C2" s="12" t="s">
        <v>79</v>
      </c>
      <c r="D2" s="7" t="s">
        <v>58</v>
      </c>
      <c r="E2" s="7" t="s">
        <v>64</v>
      </c>
      <c r="F2" s="7" t="s">
        <v>68</v>
      </c>
      <c r="G2" s="13" t="s">
        <v>61</v>
      </c>
      <c r="H2" s="14">
        <v>1500</v>
      </c>
      <c r="I2" s="6">
        <v>5</v>
      </c>
      <c r="J2" s="14" t="s">
        <v>57</v>
      </c>
      <c r="K2" s="14" t="s">
        <v>74</v>
      </c>
      <c r="L2" s="8">
        <v>1390000</v>
      </c>
      <c r="M2" s="5">
        <f>ROUND(SUM(L2*0.95),0)</f>
        <v>1320500</v>
      </c>
      <c r="N2" s="5">
        <f>ROUND(SUM(L2*0.85),0)</f>
        <v>1181500</v>
      </c>
      <c r="O2" s="5">
        <f>ROUND(SUM(L2*0.8),0)</f>
        <v>1112000</v>
      </c>
      <c r="P2" s="5">
        <f>ROUND(SUM(L2*0.7),0)</f>
        <v>973000</v>
      </c>
      <c r="Q2" s="5">
        <f>ROUND(SUM(L2*0.6),0)</f>
        <v>834000</v>
      </c>
      <c r="R2" s="5">
        <f>ROUND(SUM(L2*0.5),0)</f>
        <v>695000</v>
      </c>
      <c r="S2" s="5">
        <f>ROUND(SUM(L2*0.45),0)</f>
        <v>625500</v>
      </c>
      <c r="T2" s="5">
        <f>ROUND(SUM(L2*0.4),0)</f>
        <v>556000</v>
      </c>
      <c r="U2" s="5">
        <f>ROUND(SUM(L2*0.35),0)</f>
        <v>486500</v>
      </c>
      <c r="V2" s="5">
        <f>ROUND(SUM(L2*0.3),0)</f>
        <v>417000</v>
      </c>
      <c r="W2" s="5">
        <f>ROUND(SUM(L2*0.25),0)</f>
        <v>347500</v>
      </c>
      <c r="X2" s="5">
        <f>ROUND(SUM(W2*0.7),0)</f>
        <v>243250</v>
      </c>
      <c r="Y2" s="5">
        <f>ROUND(SUM(X2*0.85),0)</f>
        <v>206763</v>
      </c>
      <c r="Z2" s="5">
        <f>ROUND(SUM(Y2*0.65),0)</f>
        <v>134396</v>
      </c>
      <c r="AA2" s="5">
        <f>ROUND(SUM(Z2*0.85),0)</f>
        <v>114237</v>
      </c>
      <c r="AB2" s="5">
        <f>ROUND(SUM(AA2*0.7),0)</f>
        <v>79966</v>
      </c>
    </row>
    <row r="3" spans="1:28">
      <c r="A3" s="4" t="s">
        <v>7</v>
      </c>
      <c r="B3" s="12" t="s">
        <v>77</v>
      </c>
      <c r="C3" s="12" t="s">
        <v>79</v>
      </c>
      <c r="D3" s="7" t="s">
        <v>59</v>
      </c>
      <c r="E3" s="7" t="s">
        <v>65</v>
      </c>
      <c r="F3" s="7" t="s">
        <v>69</v>
      </c>
      <c r="G3" s="13" t="s">
        <v>62</v>
      </c>
      <c r="H3" s="15">
        <v>1462</v>
      </c>
      <c r="I3" s="6">
        <v>5</v>
      </c>
      <c r="J3" s="15" t="s">
        <v>60</v>
      </c>
      <c r="K3" s="15" t="s">
        <v>75</v>
      </c>
      <c r="L3" s="9">
        <v>1455000</v>
      </c>
      <c r="M3" s="5">
        <f t="shared" ref="M3:M66" si="0">ROUND(SUM(L3*0.95),0)</f>
        <v>1382250</v>
      </c>
      <c r="N3" s="5">
        <f t="shared" ref="N3:N66" si="1">ROUND(SUM(L3*0.85),0)</f>
        <v>1236750</v>
      </c>
      <c r="O3" s="5">
        <f t="shared" ref="O3:O66" si="2">ROUND(SUM(L3*0.8),0)</f>
        <v>1164000</v>
      </c>
      <c r="P3" s="5">
        <f t="shared" ref="P3:P66" si="3">ROUND(SUM(L3*0.7),0)</f>
        <v>1018500</v>
      </c>
      <c r="Q3" s="5">
        <f t="shared" ref="Q3:Q66" si="4">ROUND(SUM(L3*0.6),0)</f>
        <v>873000</v>
      </c>
      <c r="R3" s="5">
        <f t="shared" ref="R3:R66" si="5">ROUND(SUM(L3*0.5),0)</f>
        <v>727500</v>
      </c>
      <c r="S3" s="5">
        <f t="shared" ref="S3:S66" si="6">ROUND(SUM(L3*0.45),0)</f>
        <v>654750</v>
      </c>
      <c r="T3" s="5">
        <f t="shared" ref="T3:T66" si="7">ROUND(SUM(L3*0.4),0)</f>
        <v>582000</v>
      </c>
      <c r="U3" s="5">
        <f t="shared" ref="U3:U66" si="8">ROUND(SUM(L3*0.35),0)</f>
        <v>509250</v>
      </c>
      <c r="V3" s="5">
        <f t="shared" ref="V3:V66" si="9">ROUND(SUM(L3*0.3),0)</f>
        <v>436500</v>
      </c>
      <c r="W3" s="5">
        <f t="shared" ref="W3:W66" si="10">ROUND(SUM(L3*0.25),0)</f>
        <v>363750</v>
      </c>
      <c r="X3" s="5">
        <f t="shared" ref="X3:X66" si="11">ROUND(SUM(W3*0.7),0)</f>
        <v>254625</v>
      </c>
      <c r="Y3" s="5">
        <f t="shared" ref="Y3:Y66" si="12">ROUND(SUM(X3*0.85),0)</f>
        <v>216431</v>
      </c>
      <c r="Z3" s="5">
        <f t="shared" ref="Z3:Z66" si="13">ROUND(SUM(Y3*0.65),0)</f>
        <v>140680</v>
      </c>
      <c r="AA3" s="5">
        <f t="shared" ref="AA3:AA66" si="14">ROUND(SUM(Z3*0.85),0)</f>
        <v>119578</v>
      </c>
      <c r="AB3" s="5">
        <f t="shared" ref="AB3:AB66" si="15">ROUND(SUM(AA3*0.7),0)</f>
        <v>83705</v>
      </c>
    </row>
    <row r="4" spans="1:28">
      <c r="A4" s="4" t="s">
        <v>7</v>
      </c>
      <c r="B4" s="12" t="s">
        <v>78</v>
      </c>
      <c r="C4" s="12" t="s">
        <v>79</v>
      </c>
      <c r="D4" s="7" t="s">
        <v>66</v>
      </c>
      <c r="E4" s="7" t="s">
        <v>67</v>
      </c>
      <c r="F4" s="7" t="s">
        <v>70</v>
      </c>
      <c r="G4" s="13" t="s">
        <v>63</v>
      </c>
      <c r="H4" s="16">
        <v>1493</v>
      </c>
      <c r="I4" s="6">
        <v>5</v>
      </c>
      <c r="J4" s="15" t="s">
        <v>57</v>
      </c>
      <c r="K4" s="17" t="s">
        <v>74</v>
      </c>
      <c r="L4" s="10">
        <v>1357000</v>
      </c>
      <c r="M4" s="5">
        <f t="shared" si="0"/>
        <v>1289150</v>
      </c>
      <c r="N4" s="5">
        <f t="shared" si="1"/>
        <v>1153450</v>
      </c>
      <c r="O4" s="5">
        <f t="shared" si="2"/>
        <v>1085600</v>
      </c>
      <c r="P4" s="5">
        <f t="shared" si="3"/>
        <v>949900</v>
      </c>
      <c r="Q4" s="5">
        <f t="shared" si="4"/>
        <v>814200</v>
      </c>
      <c r="R4" s="5">
        <f t="shared" si="5"/>
        <v>678500</v>
      </c>
      <c r="S4" s="5">
        <f t="shared" si="6"/>
        <v>610650</v>
      </c>
      <c r="T4" s="5">
        <f t="shared" si="7"/>
        <v>542800</v>
      </c>
      <c r="U4" s="5">
        <f t="shared" si="8"/>
        <v>474950</v>
      </c>
      <c r="V4" s="5">
        <f t="shared" si="9"/>
        <v>407100</v>
      </c>
      <c r="W4" s="5">
        <f t="shared" si="10"/>
        <v>339250</v>
      </c>
      <c r="X4" s="5">
        <f t="shared" si="11"/>
        <v>237475</v>
      </c>
      <c r="Y4" s="5">
        <f t="shared" si="12"/>
        <v>201854</v>
      </c>
      <c r="Z4" s="5">
        <f t="shared" si="13"/>
        <v>131205</v>
      </c>
      <c r="AA4" s="5">
        <f t="shared" si="14"/>
        <v>111524</v>
      </c>
      <c r="AB4" s="5">
        <f t="shared" si="15"/>
        <v>78067</v>
      </c>
    </row>
    <row r="5" spans="1:28">
      <c r="A5" s="3" t="s">
        <v>8</v>
      </c>
      <c r="B5" s="12" t="s">
        <v>76</v>
      </c>
      <c r="C5" s="12" t="s">
        <v>79</v>
      </c>
      <c r="D5" s="7" t="s">
        <v>58</v>
      </c>
      <c r="E5" s="7" t="s">
        <v>64</v>
      </c>
      <c r="F5" s="7" t="s">
        <v>68</v>
      </c>
      <c r="G5" s="13" t="s">
        <v>61</v>
      </c>
      <c r="H5" s="14">
        <v>1500</v>
      </c>
      <c r="I5" s="6">
        <v>5</v>
      </c>
      <c r="J5" s="14" t="s">
        <v>57</v>
      </c>
      <c r="K5" s="14" t="s">
        <v>74</v>
      </c>
      <c r="L5" s="8">
        <v>1390000</v>
      </c>
      <c r="M5" s="5">
        <f t="shared" si="0"/>
        <v>1320500</v>
      </c>
      <c r="N5" s="5">
        <f t="shared" si="1"/>
        <v>1181500</v>
      </c>
      <c r="O5" s="5">
        <f t="shared" si="2"/>
        <v>1112000</v>
      </c>
      <c r="P5" s="5">
        <f t="shared" si="3"/>
        <v>973000</v>
      </c>
      <c r="Q5" s="5">
        <f t="shared" si="4"/>
        <v>834000</v>
      </c>
      <c r="R5" s="5">
        <f t="shared" si="5"/>
        <v>695000</v>
      </c>
      <c r="S5" s="5">
        <f t="shared" si="6"/>
        <v>625500</v>
      </c>
      <c r="T5" s="5">
        <f t="shared" si="7"/>
        <v>556000</v>
      </c>
      <c r="U5" s="5">
        <f t="shared" si="8"/>
        <v>486500</v>
      </c>
      <c r="V5" s="5">
        <f t="shared" si="9"/>
        <v>417000</v>
      </c>
      <c r="W5" s="5">
        <f t="shared" si="10"/>
        <v>347500</v>
      </c>
      <c r="X5" s="5">
        <f t="shared" si="11"/>
        <v>243250</v>
      </c>
      <c r="Y5" s="5">
        <f t="shared" si="12"/>
        <v>206763</v>
      </c>
      <c r="Z5" s="5">
        <f t="shared" si="13"/>
        <v>134396</v>
      </c>
      <c r="AA5" s="5">
        <f t="shared" si="14"/>
        <v>114237</v>
      </c>
      <c r="AB5" s="5">
        <f t="shared" si="15"/>
        <v>79966</v>
      </c>
    </row>
    <row r="6" spans="1:28">
      <c r="A6" s="3" t="s">
        <v>8</v>
      </c>
      <c r="B6" s="12" t="s">
        <v>77</v>
      </c>
      <c r="C6" s="12" t="s">
        <v>79</v>
      </c>
      <c r="D6" s="7" t="s">
        <v>59</v>
      </c>
      <c r="E6" s="7" t="s">
        <v>65</v>
      </c>
      <c r="F6" s="7" t="s">
        <v>69</v>
      </c>
      <c r="G6" s="13" t="s">
        <v>62</v>
      </c>
      <c r="H6" s="15">
        <v>1462</v>
      </c>
      <c r="I6" s="6">
        <v>5</v>
      </c>
      <c r="J6" s="15" t="s">
        <v>60</v>
      </c>
      <c r="K6" s="15" t="s">
        <v>75</v>
      </c>
      <c r="L6" s="9">
        <v>1455000</v>
      </c>
      <c r="M6" s="5">
        <f t="shared" si="0"/>
        <v>1382250</v>
      </c>
      <c r="N6" s="5">
        <f t="shared" si="1"/>
        <v>1236750</v>
      </c>
      <c r="O6" s="5">
        <f t="shared" si="2"/>
        <v>1164000</v>
      </c>
      <c r="P6" s="5">
        <f t="shared" si="3"/>
        <v>1018500</v>
      </c>
      <c r="Q6" s="5">
        <f t="shared" si="4"/>
        <v>873000</v>
      </c>
      <c r="R6" s="5">
        <f t="shared" si="5"/>
        <v>727500</v>
      </c>
      <c r="S6" s="5">
        <f t="shared" si="6"/>
        <v>654750</v>
      </c>
      <c r="T6" s="5">
        <f t="shared" si="7"/>
        <v>582000</v>
      </c>
      <c r="U6" s="5">
        <f t="shared" si="8"/>
        <v>509250</v>
      </c>
      <c r="V6" s="5">
        <f t="shared" si="9"/>
        <v>436500</v>
      </c>
      <c r="W6" s="5">
        <f t="shared" si="10"/>
        <v>363750</v>
      </c>
      <c r="X6" s="5">
        <f t="shared" si="11"/>
        <v>254625</v>
      </c>
      <c r="Y6" s="5">
        <f t="shared" si="12"/>
        <v>216431</v>
      </c>
      <c r="Z6" s="5">
        <f t="shared" si="13"/>
        <v>140680</v>
      </c>
      <c r="AA6" s="5">
        <f t="shared" si="14"/>
        <v>119578</v>
      </c>
      <c r="AB6" s="5">
        <f t="shared" si="15"/>
        <v>83705</v>
      </c>
    </row>
    <row r="7" spans="1:28">
      <c r="A7" s="3" t="s">
        <v>8</v>
      </c>
      <c r="B7" s="12" t="s">
        <v>78</v>
      </c>
      <c r="C7" s="12" t="s">
        <v>79</v>
      </c>
      <c r="D7" s="7" t="s">
        <v>66</v>
      </c>
      <c r="E7" s="7" t="s">
        <v>67</v>
      </c>
      <c r="F7" s="7" t="s">
        <v>70</v>
      </c>
      <c r="G7" s="13" t="s">
        <v>63</v>
      </c>
      <c r="H7" s="16">
        <v>1493</v>
      </c>
      <c r="I7" s="6">
        <v>5</v>
      </c>
      <c r="J7" s="15" t="s">
        <v>57</v>
      </c>
      <c r="K7" s="17" t="s">
        <v>74</v>
      </c>
      <c r="L7" s="10">
        <v>1357000</v>
      </c>
      <c r="M7" s="5">
        <f t="shared" si="0"/>
        <v>1289150</v>
      </c>
      <c r="N7" s="5">
        <f t="shared" si="1"/>
        <v>1153450</v>
      </c>
      <c r="O7" s="5">
        <f t="shared" si="2"/>
        <v>1085600</v>
      </c>
      <c r="P7" s="5">
        <f t="shared" si="3"/>
        <v>949900</v>
      </c>
      <c r="Q7" s="5">
        <f t="shared" si="4"/>
        <v>814200</v>
      </c>
      <c r="R7" s="5">
        <f t="shared" si="5"/>
        <v>678500</v>
      </c>
      <c r="S7" s="5">
        <f t="shared" si="6"/>
        <v>610650</v>
      </c>
      <c r="T7" s="5">
        <f t="shared" si="7"/>
        <v>542800</v>
      </c>
      <c r="U7" s="5">
        <f t="shared" si="8"/>
        <v>474950</v>
      </c>
      <c r="V7" s="5">
        <f t="shared" si="9"/>
        <v>407100</v>
      </c>
      <c r="W7" s="5">
        <f t="shared" si="10"/>
        <v>339250</v>
      </c>
      <c r="X7" s="5">
        <f t="shared" si="11"/>
        <v>237475</v>
      </c>
      <c r="Y7" s="5">
        <f t="shared" si="12"/>
        <v>201854</v>
      </c>
      <c r="Z7" s="5">
        <f t="shared" si="13"/>
        <v>131205</v>
      </c>
      <c r="AA7" s="5">
        <f t="shared" si="14"/>
        <v>111524</v>
      </c>
      <c r="AB7" s="5">
        <f t="shared" si="15"/>
        <v>78067</v>
      </c>
    </row>
    <row r="8" spans="1:28">
      <c r="A8" s="3" t="s">
        <v>9</v>
      </c>
      <c r="B8" s="12" t="s">
        <v>76</v>
      </c>
      <c r="C8" s="12" t="s">
        <v>79</v>
      </c>
      <c r="D8" s="7" t="s">
        <v>58</v>
      </c>
      <c r="E8" s="7" t="s">
        <v>64</v>
      </c>
      <c r="F8" s="7" t="s">
        <v>68</v>
      </c>
      <c r="G8" s="13" t="s">
        <v>61</v>
      </c>
      <c r="H8" s="14">
        <v>1500</v>
      </c>
      <c r="I8" s="6">
        <v>5</v>
      </c>
      <c r="J8" s="14" t="s">
        <v>57</v>
      </c>
      <c r="K8" s="14" t="s">
        <v>74</v>
      </c>
      <c r="L8" s="8">
        <v>1390000</v>
      </c>
      <c r="M8" s="5">
        <f t="shared" si="0"/>
        <v>1320500</v>
      </c>
      <c r="N8" s="5">
        <f t="shared" si="1"/>
        <v>1181500</v>
      </c>
      <c r="O8" s="5">
        <f t="shared" si="2"/>
        <v>1112000</v>
      </c>
      <c r="P8" s="5">
        <f t="shared" si="3"/>
        <v>973000</v>
      </c>
      <c r="Q8" s="5">
        <f t="shared" si="4"/>
        <v>834000</v>
      </c>
      <c r="R8" s="5">
        <f t="shared" si="5"/>
        <v>695000</v>
      </c>
      <c r="S8" s="5">
        <f t="shared" si="6"/>
        <v>625500</v>
      </c>
      <c r="T8" s="5">
        <f t="shared" si="7"/>
        <v>556000</v>
      </c>
      <c r="U8" s="5">
        <f t="shared" si="8"/>
        <v>486500</v>
      </c>
      <c r="V8" s="5">
        <f t="shared" si="9"/>
        <v>417000</v>
      </c>
      <c r="W8" s="5">
        <f t="shared" si="10"/>
        <v>347500</v>
      </c>
      <c r="X8" s="5">
        <f t="shared" si="11"/>
        <v>243250</v>
      </c>
      <c r="Y8" s="5">
        <f t="shared" si="12"/>
        <v>206763</v>
      </c>
      <c r="Z8" s="5">
        <f t="shared" si="13"/>
        <v>134396</v>
      </c>
      <c r="AA8" s="5">
        <f t="shared" si="14"/>
        <v>114237</v>
      </c>
      <c r="AB8" s="5">
        <f t="shared" si="15"/>
        <v>79966</v>
      </c>
    </row>
    <row r="9" spans="1:28">
      <c r="A9" s="3" t="s">
        <v>9</v>
      </c>
      <c r="B9" s="12" t="s">
        <v>77</v>
      </c>
      <c r="C9" s="12" t="s">
        <v>79</v>
      </c>
      <c r="D9" s="7" t="s">
        <v>59</v>
      </c>
      <c r="E9" s="7" t="s">
        <v>65</v>
      </c>
      <c r="F9" s="7" t="s">
        <v>69</v>
      </c>
      <c r="G9" s="13" t="s">
        <v>62</v>
      </c>
      <c r="H9" s="15">
        <v>1462</v>
      </c>
      <c r="I9" s="6">
        <v>5</v>
      </c>
      <c r="J9" s="15" t="s">
        <v>60</v>
      </c>
      <c r="K9" s="15" t="s">
        <v>75</v>
      </c>
      <c r="L9" s="9">
        <v>1455000</v>
      </c>
      <c r="M9" s="5">
        <f t="shared" si="0"/>
        <v>1382250</v>
      </c>
      <c r="N9" s="5">
        <f t="shared" si="1"/>
        <v>1236750</v>
      </c>
      <c r="O9" s="5">
        <f t="shared" si="2"/>
        <v>1164000</v>
      </c>
      <c r="P9" s="5">
        <f t="shared" si="3"/>
        <v>1018500</v>
      </c>
      <c r="Q9" s="5">
        <f t="shared" si="4"/>
        <v>873000</v>
      </c>
      <c r="R9" s="5">
        <f t="shared" si="5"/>
        <v>727500</v>
      </c>
      <c r="S9" s="5">
        <f t="shared" si="6"/>
        <v>654750</v>
      </c>
      <c r="T9" s="5">
        <f t="shared" si="7"/>
        <v>582000</v>
      </c>
      <c r="U9" s="5">
        <f t="shared" si="8"/>
        <v>509250</v>
      </c>
      <c r="V9" s="5">
        <f t="shared" si="9"/>
        <v>436500</v>
      </c>
      <c r="W9" s="5">
        <f t="shared" si="10"/>
        <v>363750</v>
      </c>
      <c r="X9" s="5">
        <f t="shared" si="11"/>
        <v>254625</v>
      </c>
      <c r="Y9" s="5">
        <f t="shared" si="12"/>
        <v>216431</v>
      </c>
      <c r="Z9" s="5">
        <f t="shared" si="13"/>
        <v>140680</v>
      </c>
      <c r="AA9" s="5">
        <f t="shared" si="14"/>
        <v>119578</v>
      </c>
      <c r="AB9" s="5">
        <f t="shared" si="15"/>
        <v>83705</v>
      </c>
    </row>
    <row r="10" spans="1:28">
      <c r="A10" s="3" t="s">
        <v>9</v>
      </c>
      <c r="B10" s="12" t="s">
        <v>78</v>
      </c>
      <c r="C10" s="12" t="s">
        <v>79</v>
      </c>
      <c r="D10" s="7" t="s">
        <v>66</v>
      </c>
      <c r="E10" s="7" t="s">
        <v>67</v>
      </c>
      <c r="F10" s="7" t="s">
        <v>70</v>
      </c>
      <c r="G10" s="13" t="s">
        <v>63</v>
      </c>
      <c r="H10" s="16">
        <v>1493</v>
      </c>
      <c r="I10" s="6">
        <v>5</v>
      </c>
      <c r="J10" s="15" t="s">
        <v>57</v>
      </c>
      <c r="K10" s="17" t="s">
        <v>74</v>
      </c>
      <c r="L10" s="10">
        <v>1357000</v>
      </c>
      <c r="M10" s="5">
        <f t="shared" si="0"/>
        <v>1289150</v>
      </c>
      <c r="N10" s="5">
        <f t="shared" si="1"/>
        <v>1153450</v>
      </c>
      <c r="O10" s="5">
        <f t="shared" si="2"/>
        <v>1085600</v>
      </c>
      <c r="P10" s="5">
        <f t="shared" si="3"/>
        <v>949900</v>
      </c>
      <c r="Q10" s="5">
        <f t="shared" si="4"/>
        <v>814200</v>
      </c>
      <c r="R10" s="5">
        <f t="shared" si="5"/>
        <v>678500</v>
      </c>
      <c r="S10" s="5">
        <f t="shared" si="6"/>
        <v>610650</v>
      </c>
      <c r="T10" s="5">
        <f t="shared" si="7"/>
        <v>542800</v>
      </c>
      <c r="U10" s="5">
        <f t="shared" si="8"/>
        <v>474950</v>
      </c>
      <c r="V10" s="5">
        <f t="shared" si="9"/>
        <v>407100</v>
      </c>
      <c r="W10" s="5">
        <f t="shared" si="10"/>
        <v>339250</v>
      </c>
      <c r="X10" s="5">
        <f t="shared" si="11"/>
        <v>237475</v>
      </c>
      <c r="Y10" s="5">
        <f t="shared" si="12"/>
        <v>201854</v>
      </c>
      <c r="Z10" s="5">
        <f t="shared" si="13"/>
        <v>131205</v>
      </c>
      <c r="AA10" s="5">
        <f t="shared" si="14"/>
        <v>111524</v>
      </c>
      <c r="AB10" s="5">
        <f t="shared" si="15"/>
        <v>78067</v>
      </c>
    </row>
    <row r="11" spans="1:28">
      <c r="A11" s="3" t="s">
        <v>10</v>
      </c>
      <c r="B11" s="12" t="s">
        <v>76</v>
      </c>
      <c r="C11" s="12" t="s">
        <v>79</v>
      </c>
      <c r="D11" s="7" t="s">
        <v>58</v>
      </c>
      <c r="E11" s="7" t="s">
        <v>64</v>
      </c>
      <c r="F11" s="7" t="s">
        <v>68</v>
      </c>
      <c r="G11" s="13" t="s">
        <v>61</v>
      </c>
      <c r="H11" s="14">
        <v>1500</v>
      </c>
      <c r="I11" s="6">
        <v>5</v>
      </c>
      <c r="J11" s="14" t="s">
        <v>57</v>
      </c>
      <c r="K11" s="14" t="s">
        <v>74</v>
      </c>
      <c r="L11" s="8">
        <v>1390000</v>
      </c>
      <c r="M11" s="5">
        <f t="shared" si="0"/>
        <v>1320500</v>
      </c>
      <c r="N11" s="5">
        <f t="shared" si="1"/>
        <v>1181500</v>
      </c>
      <c r="O11" s="5">
        <f t="shared" si="2"/>
        <v>1112000</v>
      </c>
      <c r="P11" s="5">
        <f t="shared" si="3"/>
        <v>973000</v>
      </c>
      <c r="Q11" s="5">
        <f t="shared" si="4"/>
        <v>834000</v>
      </c>
      <c r="R11" s="5">
        <f t="shared" si="5"/>
        <v>695000</v>
      </c>
      <c r="S11" s="5">
        <f t="shared" si="6"/>
        <v>625500</v>
      </c>
      <c r="T11" s="5">
        <f t="shared" si="7"/>
        <v>556000</v>
      </c>
      <c r="U11" s="5">
        <f t="shared" si="8"/>
        <v>486500</v>
      </c>
      <c r="V11" s="5">
        <f t="shared" si="9"/>
        <v>417000</v>
      </c>
      <c r="W11" s="5">
        <f t="shared" si="10"/>
        <v>347500</v>
      </c>
      <c r="X11" s="5">
        <f t="shared" si="11"/>
        <v>243250</v>
      </c>
      <c r="Y11" s="5">
        <f t="shared" si="12"/>
        <v>206763</v>
      </c>
      <c r="Z11" s="5">
        <f t="shared" si="13"/>
        <v>134396</v>
      </c>
      <c r="AA11" s="5">
        <f t="shared" si="14"/>
        <v>114237</v>
      </c>
      <c r="AB11" s="5">
        <f t="shared" si="15"/>
        <v>79966</v>
      </c>
    </row>
    <row r="12" spans="1:28">
      <c r="A12" s="3" t="s">
        <v>10</v>
      </c>
      <c r="B12" s="12" t="s">
        <v>77</v>
      </c>
      <c r="C12" s="12" t="s">
        <v>79</v>
      </c>
      <c r="D12" s="7" t="s">
        <v>59</v>
      </c>
      <c r="E12" s="7" t="s">
        <v>65</v>
      </c>
      <c r="F12" s="7" t="s">
        <v>69</v>
      </c>
      <c r="G12" s="13" t="s">
        <v>62</v>
      </c>
      <c r="H12" s="15">
        <v>1462</v>
      </c>
      <c r="I12" s="6">
        <v>5</v>
      </c>
      <c r="J12" s="15" t="s">
        <v>60</v>
      </c>
      <c r="K12" s="15" t="s">
        <v>75</v>
      </c>
      <c r="L12" s="9">
        <v>1455000</v>
      </c>
      <c r="M12" s="5">
        <f t="shared" si="0"/>
        <v>1382250</v>
      </c>
      <c r="N12" s="5">
        <f t="shared" si="1"/>
        <v>1236750</v>
      </c>
      <c r="O12" s="5">
        <f t="shared" si="2"/>
        <v>1164000</v>
      </c>
      <c r="P12" s="5">
        <f t="shared" si="3"/>
        <v>1018500</v>
      </c>
      <c r="Q12" s="5">
        <f t="shared" si="4"/>
        <v>873000</v>
      </c>
      <c r="R12" s="5">
        <f t="shared" si="5"/>
        <v>727500</v>
      </c>
      <c r="S12" s="5">
        <f t="shared" si="6"/>
        <v>654750</v>
      </c>
      <c r="T12" s="5">
        <f t="shared" si="7"/>
        <v>582000</v>
      </c>
      <c r="U12" s="5">
        <f t="shared" si="8"/>
        <v>509250</v>
      </c>
      <c r="V12" s="5">
        <f t="shared" si="9"/>
        <v>436500</v>
      </c>
      <c r="W12" s="5">
        <f t="shared" si="10"/>
        <v>363750</v>
      </c>
      <c r="X12" s="5">
        <f t="shared" si="11"/>
        <v>254625</v>
      </c>
      <c r="Y12" s="5">
        <f t="shared" si="12"/>
        <v>216431</v>
      </c>
      <c r="Z12" s="5">
        <f t="shared" si="13"/>
        <v>140680</v>
      </c>
      <c r="AA12" s="5">
        <f t="shared" si="14"/>
        <v>119578</v>
      </c>
      <c r="AB12" s="5">
        <f t="shared" si="15"/>
        <v>83705</v>
      </c>
    </row>
    <row r="13" spans="1:28">
      <c r="A13" s="3" t="s">
        <v>10</v>
      </c>
      <c r="B13" s="12" t="s">
        <v>78</v>
      </c>
      <c r="C13" s="12" t="s">
        <v>79</v>
      </c>
      <c r="D13" s="7" t="s">
        <v>66</v>
      </c>
      <c r="E13" s="7" t="s">
        <v>67</v>
      </c>
      <c r="F13" s="7" t="s">
        <v>70</v>
      </c>
      <c r="G13" s="13" t="s">
        <v>63</v>
      </c>
      <c r="H13" s="16">
        <v>1493</v>
      </c>
      <c r="I13" s="6">
        <v>5</v>
      </c>
      <c r="J13" s="15" t="s">
        <v>57</v>
      </c>
      <c r="K13" s="17" t="s">
        <v>74</v>
      </c>
      <c r="L13" s="10">
        <v>1357000</v>
      </c>
      <c r="M13" s="5">
        <f t="shared" si="0"/>
        <v>1289150</v>
      </c>
      <c r="N13" s="5">
        <f t="shared" si="1"/>
        <v>1153450</v>
      </c>
      <c r="O13" s="5">
        <f t="shared" si="2"/>
        <v>1085600</v>
      </c>
      <c r="P13" s="5">
        <f t="shared" si="3"/>
        <v>949900</v>
      </c>
      <c r="Q13" s="5">
        <f t="shared" si="4"/>
        <v>814200</v>
      </c>
      <c r="R13" s="5">
        <f t="shared" si="5"/>
        <v>678500</v>
      </c>
      <c r="S13" s="5">
        <f t="shared" si="6"/>
        <v>610650</v>
      </c>
      <c r="T13" s="5">
        <f t="shared" si="7"/>
        <v>542800</v>
      </c>
      <c r="U13" s="5">
        <f t="shared" si="8"/>
        <v>474950</v>
      </c>
      <c r="V13" s="5">
        <f t="shared" si="9"/>
        <v>407100</v>
      </c>
      <c r="W13" s="5">
        <f t="shared" si="10"/>
        <v>339250</v>
      </c>
      <c r="X13" s="5">
        <f t="shared" si="11"/>
        <v>237475</v>
      </c>
      <c r="Y13" s="5">
        <f t="shared" si="12"/>
        <v>201854</v>
      </c>
      <c r="Z13" s="5">
        <f t="shared" si="13"/>
        <v>131205</v>
      </c>
      <c r="AA13" s="5">
        <f t="shared" si="14"/>
        <v>111524</v>
      </c>
      <c r="AB13" s="5">
        <f t="shared" si="15"/>
        <v>78067</v>
      </c>
    </row>
    <row r="14" spans="1:28">
      <c r="A14" s="3" t="s">
        <v>11</v>
      </c>
      <c r="B14" s="12" t="s">
        <v>76</v>
      </c>
      <c r="C14" s="12" t="s">
        <v>79</v>
      </c>
      <c r="D14" s="7" t="s">
        <v>58</v>
      </c>
      <c r="E14" s="7" t="s">
        <v>64</v>
      </c>
      <c r="F14" s="7" t="s">
        <v>68</v>
      </c>
      <c r="G14" s="13" t="s">
        <v>61</v>
      </c>
      <c r="H14" s="14">
        <v>1500</v>
      </c>
      <c r="I14" s="6">
        <v>5</v>
      </c>
      <c r="J14" s="14" t="s">
        <v>57</v>
      </c>
      <c r="K14" s="14" t="s">
        <v>74</v>
      </c>
      <c r="L14" s="8">
        <v>1390000</v>
      </c>
      <c r="M14" s="5">
        <f t="shared" si="0"/>
        <v>1320500</v>
      </c>
      <c r="N14" s="5">
        <f t="shared" si="1"/>
        <v>1181500</v>
      </c>
      <c r="O14" s="5">
        <f t="shared" si="2"/>
        <v>1112000</v>
      </c>
      <c r="P14" s="5">
        <f t="shared" si="3"/>
        <v>973000</v>
      </c>
      <c r="Q14" s="5">
        <f t="shared" si="4"/>
        <v>834000</v>
      </c>
      <c r="R14" s="5">
        <f t="shared" si="5"/>
        <v>695000</v>
      </c>
      <c r="S14" s="5">
        <f t="shared" si="6"/>
        <v>625500</v>
      </c>
      <c r="T14" s="5">
        <f t="shared" si="7"/>
        <v>556000</v>
      </c>
      <c r="U14" s="5">
        <f t="shared" si="8"/>
        <v>486500</v>
      </c>
      <c r="V14" s="5">
        <f t="shared" si="9"/>
        <v>417000</v>
      </c>
      <c r="W14" s="5">
        <f t="shared" si="10"/>
        <v>347500</v>
      </c>
      <c r="X14" s="5">
        <f t="shared" si="11"/>
        <v>243250</v>
      </c>
      <c r="Y14" s="5">
        <f t="shared" si="12"/>
        <v>206763</v>
      </c>
      <c r="Z14" s="5">
        <f t="shared" si="13"/>
        <v>134396</v>
      </c>
      <c r="AA14" s="5">
        <f t="shared" si="14"/>
        <v>114237</v>
      </c>
      <c r="AB14" s="5">
        <f t="shared" si="15"/>
        <v>79966</v>
      </c>
    </row>
    <row r="15" spans="1:28">
      <c r="A15" s="3" t="s">
        <v>11</v>
      </c>
      <c r="B15" s="12" t="s">
        <v>77</v>
      </c>
      <c r="C15" s="12" t="s">
        <v>79</v>
      </c>
      <c r="D15" s="7" t="s">
        <v>59</v>
      </c>
      <c r="E15" s="7" t="s">
        <v>65</v>
      </c>
      <c r="F15" s="7" t="s">
        <v>69</v>
      </c>
      <c r="G15" s="13" t="s">
        <v>62</v>
      </c>
      <c r="H15" s="15">
        <v>1462</v>
      </c>
      <c r="I15" s="6">
        <v>5</v>
      </c>
      <c r="J15" s="15" t="s">
        <v>60</v>
      </c>
      <c r="K15" s="15" t="s">
        <v>75</v>
      </c>
      <c r="L15" s="9">
        <v>1455000</v>
      </c>
      <c r="M15" s="5">
        <f t="shared" si="0"/>
        <v>1382250</v>
      </c>
      <c r="N15" s="5">
        <f t="shared" si="1"/>
        <v>1236750</v>
      </c>
      <c r="O15" s="5">
        <f t="shared" si="2"/>
        <v>1164000</v>
      </c>
      <c r="P15" s="5">
        <f t="shared" si="3"/>
        <v>1018500</v>
      </c>
      <c r="Q15" s="5">
        <f t="shared" si="4"/>
        <v>873000</v>
      </c>
      <c r="R15" s="5">
        <f t="shared" si="5"/>
        <v>727500</v>
      </c>
      <c r="S15" s="5">
        <f t="shared" si="6"/>
        <v>654750</v>
      </c>
      <c r="T15" s="5">
        <f t="shared" si="7"/>
        <v>582000</v>
      </c>
      <c r="U15" s="5">
        <f t="shared" si="8"/>
        <v>509250</v>
      </c>
      <c r="V15" s="5">
        <f t="shared" si="9"/>
        <v>436500</v>
      </c>
      <c r="W15" s="5">
        <f t="shared" si="10"/>
        <v>363750</v>
      </c>
      <c r="X15" s="5">
        <f t="shared" si="11"/>
        <v>254625</v>
      </c>
      <c r="Y15" s="5">
        <f t="shared" si="12"/>
        <v>216431</v>
      </c>
      <c r="Z15" s="5">
        <f t="shared" si="13"/>
        <v>140680</v>
      </c>
      <c r="AA15" s="5">
        <f t="shared" si="14"/>
        <v>119578</v>
      </c>
      <c r="AB15" s="5">
        <f t="shared" si="15"/>
        <v>83705</v>
      </c>
    </row>
    <row r="16" spans="1:28">
      <c r="A16" s="3" t="s">
        <v>11</v>
      </c>
      <c r="B16" s="12" t="s">
        <v>78</v>
      </c>
      <c r="C16" s="12" t="s">
        <v>79</v>
      </c>
      <c r="D16" s="7" t="s">
        <v>66</v>
      </c>
      <c r="E16" s="7" t="s">
        <v>67</v>
      </c>
      <c r="F16" s="7" t="s">
        <v>70</v>
      </c>
      <c r="G16" s="13" t="s">
        <v>63</v>
      </c>
      <c r="H16" s="16">
        <v>1493</v>
      </c>
      <c r="I16" s="6">
        <v>5</v>
      </c>
      <c r="J16" s="15" t="s">
        <v>57</v>
      </c>
      <c r="K16" s="17" t="s">
        <v>74</v>
      </c>
      <c r="L16" s="10">
        <v>1357000</v>
      </c>
      <c r="M16" s="5">
        <f t="shared" si="0"/>
        <v>1289150</v>
      </c>
      <c r="N16" s="5">
        <f t="shared" si="1"/>
        <v>1153450</v>
      </c>
      <c r="O16" s="5">
        <f t="shared" si="2"/>
        <v>1085600</v>
      </c>
      <c r="P16" s="5">
        <f t="shared" si="3"/>
        <v>949900</v>
      </c>
      <c r="Q16" s="5">
        <f t="shared" si="4"/>
        <v>814200</v>
      </c>
      <c r="R16" s="5">
        <f t="shared" si="5"/>
        <v>678500</v>
      </c>
      <c r="S16" s="5">
        <f t="shared" si="6"/>
        <v>610650</v>
      </c>
      <c r="T16" s="5">
        <f t="shared" si="7"/>
        <v>542800</v>
      </c>
      <c r="U16" s="5">
        <f t="shared" si="8"/>
        <v>474950</v>
      </c>
      <c r="V16" s="5">
        <f t="shared" si="9"/>
        <v>407100</v>
      </c>
      <c r="W16" s="5">
        <f t="shared" si="10"/>
        <v>339250</v>
      </c>
      <c r="X16" s="5">
        <f t="shared" si="11"/>
        <v>237475</v>
      </c>
      <c r="Y16" s="5">
        <f t="shared" si="12"/>
        <v>201854</v>
      </c>
      <c r="Z16" s="5">
        <f t="shared" si="13"/>
        <v>131205</v>
      </c>
      <c r="AA16" s="5">
        <f t="shared" si="14"/>
        <v>111524</v>
      </c>
      <c r="AB16" s="5">
        <f t="shared" si="15"/>
        <v>78067</v>
      </c>
    </row>
    <row r="17" spans="1:28">
      <c r="A17" s="3" t="s">
        <v>12</v>
      </c>
      <c r="B17" s="12" t="s">
        <v>76</v>
      </c>
      <c r="C17" s="12" t="s">
        <v>79</v>
      </c>
      <c r="D17" s="7" t="s">
        <v>58</v>
      </c>
      <c r="E17" s="7" t="s">
        <v>64</v>
      </c>
      <c r="F17" s="7" t="s">
        <v>68</v>
      </c>
      <c r="G17" s="13" t="s">
        <v>61</v>
      </c>
      <c r="H17" s="14">
        <v>1500</v>
      </c>
      <c r="I17" s="6">
        <v>5</v>
      </c>
      <c r="J17" s="14" t="s">
        <v>57</v>
      </c>
      <c r="K17" s="14" t="s">
        <v>74</v>
      </c>
      <c r="L17" s="8">
        <v>1390000</v>
      </c>
      <c r="M17" s="5">
        <f t="shared" si="0"/>
        <v>1320500</v>
      </c>
      <c r="N17" s="5">
        <f t="shared" si="1"/>
        <v>1181500</v>
      </c>
      <c r="O17" s="5">
        <f t="shared" si="2"/>
        <v>1112000</v>
      </c>
      <c r="P17" s="5">
        <f t="shared" si="3"/>
        <v>973000</v>
      </c>
      <c r="Q17" s="5">
        <f t="shared" si="4"/>
        <v>834000</v>
      </c>
      <c r="R17" s="5">
        <f t="shared" si="5"/>
        <v>695000</v>
      </c>
      <c r="S17" s="5">
        <f t="shared" si="6"/>
        <v>625500</v>
      </c>
      <c r="T17" s="5">
        <f t="shared" si="7"/>
        <v>556000</v>
      </c>
      <c r="U17" s="5">
        <f t="shared" si="8"/>
        <v>486500</v>
      </c>
      <c r="V17" s="5">
        <f t="shared" si="9"/>
        <v>417000</v>
      </c>
      <c r="W17" s="5">
        <f t="shared" si="10"/>
        <v>347500</v>
      </c>
      <c r="X17" s="5">
        <f t="shared" si="11"/>
        <v>243250</v>
      </c>
      <c r="Y17" s="5">
        <f t="shared" si="12"/>
        <v>206763</v>
      </c>
      <c r="Z17" s="5">
        <f t="shared" si="13"/>
        <v>134396</v>
      </c>
      <c r="AA17" s="5">
        <f t="shared" si="14"/>
        <v>114237</v>
      </c>
      <c r="AB17" s="5">
        <f t="shared" si="15"/>
        <v>79966</v>
      </c>
    </row>
    <row r="18" spans="1:28">
      <c r="A18" s="3" t="s">
        <v>12</v>
      </c>
      <c r="B18" s="12" t="s">
        <v>77</v>
      </c>
      <c r="C18" s="12" t="s">
        <v>79</v>
      </c>
      <c r="D18" s="7" t="s">
        <v>59</v>
      </c>
      <c r="E18" s="7" t="s">
        <v>65</v>
      </c>
      <c r="F18" s="7" t="s">
        <v>69</v>
      </c>
      <c r="G18" s="13" t="s">
        <v>62</v>
      </c>
      <c r="H18" s="15">
        <v>1462</v>
      </c>
      <c r="I18" s="6">
        <v>5</v>
      </c>
      <c r="J18" s="15" t="s">
        <v>60</v>
      </c>
      <c r="K18" s="15" t="s">
        <v>75</v>
      </c>
      <c r="L18" s="9">
        <v>1455000</v>
      </c>
      <c r="M18" s="5">
        <f t="shared" si="0"/>
        <v>1382250</v>
      </c>
      <c r="N18" s="5">
        <f t="shared" si="1"/>
        <v>1236750</v>
      </c>
      <c r="O18" s="5">
        <f t="shared" si="2"/>
        <v>1164000</v>
      </c>
      <c r="P18" s="5">
        <f t="shared" si="3"/>
        <v>1018500</v>
      </c>
      <c r="Q18" s="5">
        <f t="shared" si="4"/>
        <v>873000</v>
      </c>
      <c r="R18" s="5">
        <f t="shared" si="5"/>
        <v>727500</v>
      </c>
      <c r="S18" s="5">
        <f t="shared" si="6"/>
        <v>654750</v>
      </c>
      <c r="T18" s="5">
        <f t="shared" si="7"/>
        <v>582000</v>
      </c>
      <c r="U18" s="5">
        <f t="shared" si="8"/>
        <v>509250</v>
      </c>
      <c r="V18" s="5">
        <f t="shared" si="9"/>
        <v>436500</v>
      </c>
      <c r="W18" s="5">
        <f t="shared" si="10"/>
        <v>363750</v>
      </c>
      <c r="X18" s="5">
        <f t="shared" si="11"/>
        <v>254625</v>
      </c>
      <c r="Y18" s="5">
        <f t="shared" si="12"/>
        <v>216431</v>
      </c>
      <c r="Z18" s="5">
        <f t="shared" si="13"/>
        <v>140680</v>
      </c>
      <c r="AA18" s="5">
        <f t="shared" si="14"/>
        <v>119578</v>
      </c>
      <c r="AB18" s="5">
        <f t="shared" si="15"/>
        <v>83705</v>
      </c>
    </row>
    <row r="19" spans="1:28">
      <c r="A19" s="3" t="s">
        <v>12</v>
      </c>
      <c r="B19" s="12" t="s">
        <v>78</v>
      </c>
      <c r="C19" s="12" t="s">
        <v>79</v>
      </c>
      <c r="D19" s="7" t="s">
        <v>66</v>
      </c>
      <c r="E19" s="7" t="s">
        <v>67</v>
      </c>
      <c r="F19" s="7" t="s">
        <v>70</v>
      </c>
      <c r="G19" s="13" t="s">
        <v>63</v>
      </c>
      <c r="H19" s="16">
        <v>1493</v>
      </c>
      <c r="I19" s="6">
        <v>5</v>
      </c>
      <c r="J19" s="15" t="s">
        <v>57</v>
      </c>
      <c r="K19" s="17" t="s">
        <v>74</v>
      </c>
      <c r="L19" s="10">
        <v>1357000</v>
      </c>
      <c r="M19" s="5">
        <f t="shared" si="0"/>
        <v>1289150</v>
      </c>
      <c r="N19" s="5">
        <f t="shared" si="1"/>
        <v>1153450</v>
      </c>
      <c r="O19" s="5">
        <f t="shared" si="2"/>
        <v>1085600</v>
      </c>
      <c r="P19" s="5">
        <f t="shared" si="3"/>
        <v>949900</v>
      </c>
      <c r="Q19" s="5">
        <f t="shared" si="4"/>
        <v>814200</v>
      </c>
      <c r="R19" s="5">
        <f t="shared" si="5"/>
        <v>678500</v>
      </c>
      <c r="S19" s="5">
        <f t="shared" si="6"/>
        <v>610650</v>
      </c>
      <c r="T19" s="5">
        <f t="shared" si="7"/>
        <v>542800</v>
      </c>
      <c r="U19" s="5">
        <f t="shared" si="8"/>
        <v>474950</v>
      </c>
      <c r="V19" s="5">
        <f t="shared" si="9"/>
        <v>407100</v>
      </c>
      <c r="W19" s="5">
        <f t="shared" si="10"/>
        <v>339250</v>
      </c>
      <c r="X19" s="5">
        <f t="shared" si="11"/>
        <v>237475</v>
      </c>
      <c r="Y19" s="5">
        <f t="shared" si="12"/>
        <v>201854</v>
      </c>
      <c r="Z19" s="5">
        <f t="shared" si="13"/>
        <v>131205</v>
      </c>
      <c r="AA19" s="5">
        <f t="shared" si="14"/>
        <v>111524</v>
      </c>
      <c r="AB19" s="5">
        <f t="shared" si="15"/>
        <v>78067</v>
      </c>
    </row>
    <row r="20" spans="1:28">
      <c r="A20" s="3" t="s">
        <v>13</v>
      </c>
      <c r="B20" s="12" t="s">
        <v>76</v>
      </c>
      <c r="C20" s="12" t="s">
        <v>79</v>
      </c>
      <c r="D20" s="7" t="s">
        <v>58</v>
      </c>
      <c r="E20" s="7" t="s">
        <v>64</v>
      </c>
      <c r="F20" s="7" t="s">
        <v>68</v>
      </c>
      <c r="G20" s="13" t="s">
        <v>61</v>
      </c>
      <c r="H20" s="14">
        <v>1500</v>
      </c>
      <c r="I20" s="6">
        <v>5</v>
      </c>
      <c r="J20" s="14" t="s">
        <v>57</v>
      </c>
      <c r="K20" s="14" t="s">
        <v>74</v>
      </c>
      <c r="L20" s="8">
        <v>1390000</v>
      </c>
      <c r="M20" s="5">
        <f t="shared" si="0"/>
        <v>1320500</v>
      </c>
      <c r="N20" s="5">
        <f t="shared" si="1"/>
        <v>1181500</v>
      </c>
      <c r="O20" s="5">
        <f t="shared" si="2"/>
        <v>1112000</v>
      </c>
      <c r="P20" s="5">
        <f t="shared" si="3"/>
        <v>973000</v>
      </c>
      <c r="Q20" s="5">
        <f t="shared" si="4"/>
        <v>834000</v>
      </c>
      <c r="R20" s="5">
        <f t="shared" si="5"/>
        <v>695000</v>
      </c>
      <c r="S20" s="5">
        <f t="shared" si="6"/>
        <v>625500</v>
      </c>
      <c r="T20" s="5">
        <f t="shared" si="7"/>
        <v>556000</v>
      </c>
      <c r="U20" s="5">
        <f t="shared" si="8"/>
        <v>486500</v>
      </c>
      <c r="V20" s="5">
        <f t="shared" si="9"/>
        <v>417000</v>
      </c>
      <c r="W20" s="5">
        <f t="shared" si="10"/>
        <v>347500</v>
      </c>
      <c r="X20" s="5">
        <f t="shared" si="11"/>
        <v>243250</v>
      </c>
      <c r="Y20" s="5">
        <f t="shared" si="12"/>
        <v>206763</v>
      </c>
      <c r="Z20" s="5">
        <f t="shared" si="13"/>
        <v>134396</v>
      </c>
      <c r="AA20" s="5">
        <f t="shared" si="14"/>
        <v>114237</v>
      </c>
      <c r="AB20" s="5">
        <f t="shared" si="15"/>
        <v>79966</v>
      </c>
    </row>
    <row r="21" spans="1:28">
      <c r="A21" s="3" t="s">
        <v>13</v>
      </c>
      <c r="B21" s="12" t="s">
        <v>77</v>
      </c>
      <c r="C21" s="12" t="s">
        <v>79</v>
      </c>
      <c r="D21" s="7" t="s">
        <v>59</v>
      </c>
      <c r="E21" s="7" t="s">
        <v>65</v>
      </c>
      <c r="F21" s="7" t="s">
        <v>69</v>
      </c>
      <c r="G21" s="13" t="s">
        <v>62</v>
      </c>
      <c r="H21" s="15">
        <v>1462</v>
      </c>
      <c r="I21" s="6">
        <v>5</v>
      </c>
      <c r="J21" s="15" t="s">
        <v>60</v>
      </c>
      <c r="K21" s="15" t="s">
        <v>75</v>
      </c>
      <c r="L21" s="9">
        <v>1455000</v>
      </c>
      <c r="M21" s="5">
        <f t="shared" si="0"/>
        <v>1382250</v>
      </c>
      <c r="N21" s="5">
        <f t="shared" si="1"/>
        <v>1236750</v>
      </c>
      <c r="O21" s="5">
        <f t="shared" si="2"/>
        <v>1164000</v>
      </c>
      <c r="P21" s="5">
        <f t="shared" si="3"/>
        <v>1018500</v>
      </c>
      <c r="Q21" s="5">
        <f t="shared" si="4"/>
        <v>873000</v>
      </c>
      <c r="R21" s="5">
        <f t="shared" si="5"/>
        <v>727500</v>
      </c>
      <c r="S21" s="5">
        <f t="shared" si="6"/>
        <v>654750</v>
      </c>
      <c r="T21" s="5">
        <f t="shared" si="7"/>
        <v>582000</v>
      </c>
      <c r="U21" s="5">
        <f t="shared" si="8"/>
        <v>509250</v>
      </c>
      <c r="V21" s="5">
        <f t="shared" si="9"/>
        <v>436500</v>
      </c>
      <c r="W21" s="5">
        <f t="shared" si="10"/>
        <v>363750</v>
      </c>
      <c r="X21" s="5">
        <f t="shared" si="11"/>
        <v>254625</v>
      </c>
      <c r="Y21" s="5">
        <f t="shared" si="12"/>
        <v>216431</v>
      </c>
      <c r="Z21" s="5">
        <f t="shared" si="13"/>
        <v>140680</v>
      </c>
      <c r="AA21" s="5">
        <f t="shared" si="14"/>
        <v>119578</v>
      </c>
      <c r="AB21" s="5">
        <f t="shared" si="15"/>
        <v>83705</v>
      </c>
    </row>
    <row r="22" spans="1:28">
      <c r="A22" s="3" t="s">
        <v>13</v>
      </c>
      <c r="B22" s="12" t="s">
        <v>78</v>
      </c>
      <c r="C22" s="12" t="s">
        <v>79</v>
      </c>
      <c r="D22" s="7" t="s">
        <v>66</v>
      </c>
      <c r="E22" s="7" t="s">
        <v>67</v>
      </c>
      <c r="F22" s="7" t="s">
        <v>70</v>
      </c>
      <c r="G22" s="13" t="s">
        <v>63</v>
      </c>
      <c r="H22" s="16">
        <v>1493</v>
      </c>
      <c r="I22" s="6">
        <v>5</v>
      </c>
      <c r="J22" s="15" t="s">
        <v>57</v>
      </c>
      <c r="K22" s="17" t="s">
        <v>74</v>
      </c>
      <c r="L22" s="10">
        <v>1357000</v>
      </c>
      <c r="M22" s="5">
        <f t="shared" si="0"/>
        <v>1289150</v>
      </c>
      <c r="N22" s="5">
        <f t="shared" si="1"/>
        <v>1153450</v>
      </c>
      <c r="O22" s="5">
        <f t="shared" si="2"/>
        <v>1085600</v>
      </c>
      <c r="P22" s="5">
        <f t="shared" si="3"/>
        <v>949900</v>
      </c>
      <c r="Q22" s="5">
        <f t="shared" si="4"/>
        <v>814200</v>
      </c>
      <c r="R22" s="5">
        <f t="shared" si="5"/>
        <v>678500</v>
      </c>
      <c r="S22" s="5">
        <f t="shared" si="6"/>
        <v>610650</v>
      </c>
      <c r="T22" s="5">
        <f t="shared" si="7"/>
        <v>542800</v>
      </c>
      <c r="U22" s="5">
        <f t="shared" si="8"/>
        <v>474950</v>
      </c>
      <c r="V22" s="5">
        <f t="shared" si="9"/>
        <v>407100</v>
      </c>
      <c r="W22" s="5">
        <f t="shared" si="10"/>
        <v>339250</v>
      </c>
      <c r="X22" s="5">
        <f t="shared" si="11"/>
        <v>237475</v>
      </c>
      <c r="Y22" s="5">
        <f t="shared" si="12"/>
        <v>201854</v>
      </c>
      <c r="Z22" s="5">
        <f t="shared" si="13"/>
        <v>131205</v>
      </c>
      <c r="AA22" s="5">
        <f t="shared" si="14"/>
        <v>111524</v>
      </c>
      <c r="AB22" s="5">
        <f t="shared" si="15"/>
        <v>78067</v>
      </c>
    </row>
    <row r="23" spans="1:28">
      <c r="A23" s="3" t="s">
        <v>14</v>
      </c>
      <c r="B23" s="12" t="s">
        <v>76</v>
      </c>
      <c r="C23" s="12" t="s">
        <v>79</v>
      </c>
      <c r="D23" s="7" t="s">
        <v>58</v>
      </c>
      <c r="E23" s="7" t="s">
        <v>64</v>
      </c>
      <c r="F23" s="7" t="s">
        <v>68</v>
      </c>
      <c r="G23" s="13" t="s">
        <v>61</v>
      </c>
      <c r="H23" s="14">
        <v>1500</v>
      </c>
      <c r="I23" s="6">
        <v>5</v>
      </c>
      <c r="J23" s="14" t="s">
        <v>57</v>
      </c>
      <c r="K23" s="14" t="s">
        <v>74</v>
      </c>
      <c r="L23" s="8">
        <v>1390000</v>
      </c>
      <c r="M23" s="5">
        <f t="shared" si="0"/>
        <v>1320500</v>
      </c>
      <c r="N23" s="5">
        <f t="shared" si="1"/>
        <v>1181500</v>
      </c>
      <c r="O23" s="5">
        <f t="shared" si="2"/>
        <v>1112000</v>
      </c>
      <c r="P23" s="5">
        <f t="shared" si="3"/>
        <v>973000</v>
      </c>
      <c r="Q23" s="5">
        <f t="shared" si="4"/>
        <v>834000</v>
      </c>
      <c r="R23" s="5">
        <f t="shared" si="5"/>
        <v>695000</v>
      </c>
      <c r="S23" s="5">
        <f t="shared" si="6"/>
        <v>625500</v>
      </c>
      <c r="T23" s="5">
        <f t="shared" si="7"/>
        <v>556000</v>
      </c>
      <c r="U23" s="5">
        <f t="shared" si="8"/>
        <v>486500</v>
      </c>
      <c r="V23" s="5">
        <f t="shared" si="9"/>
        <v>417000</v>
      </c>
      <c r="W23" s="5">
        <f t="shared" si="10"/>
        <v>347500</v>
      </c>
      <c r="X23" s="5">
        <f t="shared" si="11"/>
        <v>243250</v>
      </c>
      <c r="Y23" s="5">
        <f t="shared" si="12"/>
        <v>206763</v>
      </c>
      <c r="Z23" s="5">
        <f t="shared" si="13"/>
        <v>134396</v>
      </c>
      <c r="AA23" s="5">
        <f t="shared" si="14"/>
        <v>114237</v>
      </c>
      <c r="AB23" s="5">
        <f t="shared" si="15"/>
        <v>79966</v>
      </c>
    </row>
    <row r="24" spans="1:28">
      <c r="A24" s="3" t="s">
        <v>14</v>
      </c>
      <c r="B24" s="12" t="s">
        <v>77</v>
      </c>
      <c r="C24" s="12" t="s">
        <v>79</v>
      </c>
      <c r="D24" s="7" t="s">
        <v>59</v>
      </c>
      <c r="E24" s="7" t="s">
        <v>65</v>
      </c>
      <c r="F24" s="7" t="s">
        <v>69</v>
      </c>
      <c r="G24" s="13" t="s">
        <v>62</v>
      </c>
      <c r="H24" s="15">
        <v>1462</v>
      </c>
      <c r="I24" s="6">
        <v>5</v>
      </c>
      <c r="J24" s="15" t="s">
        <v>60</v>
      </c>
      <c r="K24" s="15" t="s">
        <v>75</v>
      </c>
      <c r="L24" s="9">
        <v>1455000</v>
      </c>
      <c r="M24" s="5">
        <f t="shared" si="0"/>
        <v>1382250</v>
      </c>
      <c r="N24" s="5">
        <f t="shared" si="1"/>
        <v>1236750</v>
      </c>
      <c r="O24" s="5">
        <f t="shared" si="2"/>
        <v>1164000</v>
      </c>
      <c r="P24" s="5">
        <f t="shared" si="3"/>
        <v>1018500</v>
      </c>
      <c r="Q24" s="5">
        <f t="shared" si="4"/>
        <v>873000</v>
      </c>
      <c r="R24" s="5">
        <f t="shared" si="5"/>
        <v>727500</v>
      </c>
      <c r="S24" s="5">
        <f t="shared" si="6"/>
        <v>654750</v>
      </c>
      <c r="T24" s="5">
        <f t="shared" si="7"/>
        <v>582000</v>
      </c>
      <c r="U24" s="5">
        <f t="shared" si="8"/>
        <v>509250</v>
      </c>
      <c r="V24" s="5">
        <f t="shared" si="9"/>
        <v>436500</v>
      </c>
      <c r="W24" s="5">
        <f t="shared" si="10"/>
        <v>363750</v>
      </c>
      <c r="X24" s="5">
        <f t="shared" si="11"/>
        <v>254625</v>
      </c>
      <c r="Y24" s="5">
        <f t="shared" si="12"/>
        <v>216431</v>
      </c>
      <c r="Z24" s="5">
        <f t="shared" si="13"/>
        <v>140680</v>
      </c>
      <c r="AA24" s="5">
        <f t="shared" si="14"/>
        <v>119578</v>
      </c>
      <c r="AB24" s="5">
        <f t="shared" si="15"/>
        <v>83705</v>
      </c>
    </row>
    <row r="25" spans="1:28">
      <c r="A25" s="3" t="s">
        <v>14</v>
      </c>
      <c r="B25" s="12" t="s">
        <v>78</v>
      </c>
      <c r="C25" s="12" t="s">
        <v>79</v>
      </c>
      <c r="D25" s="7" t="s">
        <v>66</v>
      </c>
      <c r="E25" s="7" t="s">
        <v>67</v>
      </c>
      <c r="F25" s="7" t="s">
        <v>70</v>
      </c>
      <c r="G25" s="13" t="s">
        <v>63</v>
      </c>
      <c r="H25" s="16">
        <v>1493</v>
      </c>
      <c r="I25" s="6">
        <v>5</v>
      </c>
      <c r="J25" s="15" t="s">
        <v>57</v>
      </c>
      <c r="K25" s="17" t="s">
        <v>74</v>
      </c>
      <c r="L25" s="10">
        <v>1357000</v>
      </c>
      <c r="M25" s="5">
        <f t="shared" si="0"/>
        <v>1289150</v>
      </c>
      <c r="N25" s="5">
        <f t="shared" si="1"/>
        <v>1153450</v>
      </c>
      <c r="O25" s="5">
        <f t="shared" si="2"/>
        <v>1085600</v>
      </c>
      <c r="P25" s="5">
        <f t="shared" si="3"/>
        <v>949900</v>
      </c>
      <c r="Q25" s="5">
        <f t="shared" si="4"/>
        <v>814200</v>
      </c>
      <c r="R25" s="5">
        <f t="shared" si="5"/>
        <v>678500</v>
      </c>
      <c r="S25" s="5">
        <f t="shared" si="6"/>
        <v>610650</v>
      </c>
      <c r="T25" s="5">
        <f t="shared" si="7"/>
        <v>542800</v>
      </c>
      <c r="U25" s="5">
        <f t="shared" si="8"/>
        <v>474950</v>
      </c>
      <c r="V25" s="5">
        <f t="shared" si="9"/>
        <v>407100</v>
      </c>
      <c r="W25" s="5">
        <f t="shared" si="10"/>
        <v>339250</v>
      </c>
      <c r="X25" s="5">
        <f t="shared" si="11"/>
        <v>237475</v>
      </c>
      <c r="Y25" s="5">
        <f t="shared" si="12"/>
        <v>201854</v>
      </c>
      <c r="Z25" s="5">
        <f t="shared" si="13"/>
        <v>131205</v>
      </c>
      <c r="AA25" s="5">
        <f t="shared" si="14"/>
        <v>111524</v>
      </c>
      <c r="AB25" s="5">
        <f t="shared" si="15"/>
        <v>78067</v>
      </c>
    </row>
    <row r="26" spans="1:28">
      <c r="A26" s="3" t="s">
        <v>15</v>
      </c>
      <c r="B26" s="12" t="s">
        <v>76</v>
      </c>
      <c r="C26" s="12" t="s">
        <v>79</v>
      </c>
      <c r="D26" s="7" t="s">
        <v>58</v>
      </c>
      <c r="E26" s="7" t="s">
        <v>64</v>
      </c>
      <c r="F26" s="7" t="s">
        <v>68</v>
      </c>
      <c r="G26" s="13" t="s">
        <v>61</v>
      </c>
      <c r="H26" s="14">
        <v>1500</v>
      </c>
      <c r="I26" s="6">
        <v>5</v>
      </c>
      <c r="J26" s="14" t="s">
        <v>57</v>
      </c>
      <c r="K26" s="14" t="s">
        <v>74</v>
      </c>
      <c r="L26" s="8">
        <v>1390000</v>
      </c>
      <c r="M26" s="5">
        <f t="shared" si="0"/>
        <v>1320500</v>
      </c>
      <c r="N26" s="5">
        <f t="shared" si="1"/>
        <v>1181500</v>
      </c>
      <c r="O26" s="5">
        <f t="shared" si="2"/>
        <v>1112000</v>
      </c>
      <c r="P26" s="5">
        <f t="shared" si="3"/>
        <v>973000</v>
      </c>
      <c r="Q26" s="5">
        <f t="shared" si="4"/>
        <v>834000</v>
      </c>
      <c r="R26" s="5">
        <f t="shared" si="5"/>
        <v>695000</v>
      </c>
      <c r="S26" s="5">
        <f t="shared" si="6"/>
        <v>625500</v>
      </c>
      <c r="T26" s="5">
        <f t="shared" si="7"/>
        <v>556000</v>
      </c>
      <c r="U26" s="5">
        <f t="shared" si="8"/>
        <v>486500</v>
      </c>
      <c r="V26" s="5">
        <f t="shared" si="9"/>
        <v>417000</v>
      </c>
      <c r="W26" s="5">
        <f t="shared" si="10"/>
        <v>347500</v>
      </c>
      <c r="X26" s="5">
        <f t="shared" si="11"/>
        <v>243250</v>
      </c>
      <c r="Y26" s="5">
        <f t="shared" si="12"/>
        <v>206763</v>
      </c>
      <c r="Z26" s="5">
        <f t="shared" si="13"/>
        <v>134396</v>
      </c>
      <c r="AA26" s="5">
        <f t="shared" si="14"/>
        <v>114237</v>
      </c>
      <c r="AB26" s="5">
        <f t="shared" si="15"/>
        <v>79966</v>
      </c>
    </row>
    <row r="27" spans="1:28">
      <c r="A27" s="3" t="s">
        <v>15</v>
      </c>
      <c r="B27" s="12" t="s">
        <v>77</v>
      </c>
      <c r="C27" s="12" t="s">
        <v>79</v>
      </c>
      <c r="D27" s="7" t="s">
        <v>59</v>
      </c>
      <c r="E27" s="7" t="s">
        <v>65</v>
      </c>
      <c r="F27" s="7" t="s">
        <v>69</v>
      </c>
      <c r="G27" s="13" t="s">
        <v>62</v>
      </c>
      <c r="H27" s="15">
        <v>1462</v>
      </c>
      <c r="I27" s="6">
        <v>5</v>
      </c>
      <c r="J27" s="15" t="s">
        <v>60</v>
      </c>
      <c r="K27" s="15" t="s">
        <v>75</v>
      </c>
      <c r="L27" s="9">
        <v>1455000</v>
      </c>
      <c r="M27" s="5">
        <f t="shared" si="0"/>
        <v>1382250</v>
      </c>
      <c r="N27" s="5">
        <f t="shared" si="1"/>
        <v>1236750</v>
      </c>
      <c r="O27" s="5">
        <f t="shared" si="2"/>
        <v>1164000</v>
      </c>
      <c r="P27" s="5">
        <f t="shared" si="3"/>
        <v>1018500</v>
      </c>
      <c r="Q27" s="5">
        <f t="shared" si="4"/>
        <v>873000</v>
      </c>
      <c r="R27" s="5">
        <f t="shared" si="5"/>
        <v>727500</v>
      </c>
      <c r="S27" s="5">
        <f t="shared" si="6"/>
        <v>654750</v>
      </c>
      <c r="T27" s="5">
        <f t="shared" si="7"/>
        <v>582000</v>
      </c>
      <c r="U27" s="5">
        <f t="shared" si="8"/>
        <v>509250</v>
      </c>
      <c r="V27" s="5">
        <f t="shared" si="9"/>
        <v>436500</v>
      </c>
      <c r="W27" s="5">
        <f t="shared" si="10"/>
        <v>363750</v>
      </c>
      <c r="X27" s="5">
        <f t="shared" si="11"/>
        <v>254625</v>
      </c>
      <c r="Y27" s="5">
        <f t="shared" si="12"/>
        <v>216431</v>
      </c>
      <c r="Z27" s="5">
        <f t="shared" si="13"/>
        <v>140680</v>
      </c>
      <c r="AA27" s="5">
        <f t="shared" si="14"/>
        <v>119578</v>
      </c>
      <c r="AB27" s="5">
        <f t="shared" si="15"/>
        <v>83705</v>
      </c>
    </row>
    <row r="28" spans="1:28">
      <c r="A28" s="3" t="s">
        <v>15</v>
      </c>
      <c r="B28" s="12" t="s">
        <v>78</v>
      </c>
      <c r="C28" s="12" t="s">
        <v>79</v>
      </c>
      <c r="D28" s="7" t="s">
        <v>66</v>
      </c>
      <c r="E28" s="7" t="s">
        <v>67</v>
      </c>
      <c r="F28" s="7" t="s">
        <v>70</v>
      </c>
      <c r="G28" s="13" t="s">
        <v>63</v>
      </c>
      <c r="H28" s="16">
        <v>1493</v>
      </c>
      <c r="I28" s="6">
        <v>5</v>
      </c>
      <c r="J28" s="15" t="s">
        <v>57</v>
      </c>
      <c r="K28" s="17" t="s">
        <v>74</v>
      </c>
      <c r="L28" s="10">
        <v>1357000</v>
      </c>
      <c r="M28" s="5">
        <f t="shared" si="0"/>
        <v>1289150</v>
      </c>
      <c r="N28" s="5">
        <f t="shared" si="1"/>
        <v>1153450</v>
      </c>
      <c r="O28" s="5">
        <f t="shared" si="2"/>
        <v>1085600</v>
      </c>
      <c r="P28" s="5">
        <f t="shared" si="3"/>
        <v>949900</v>
      </c>
      <c r="Q28" s="5">
        <f t="shared" si="4"/>
        <v>814200</v>
      </c>
      <c r="R28" s="5">
        <f t="shared" si="5"/>
        <v>678500</v>
      </c>
      <c r="S28" s="5">
        <f t="shared" si="6"/>
        <v>610650</v>
      </c>
      <c r="T28" s="5">
        <f t="shared" si="7"/>
        <v>542800</v>
      </c>
      <c r="U28" s="5">
        <f t="shared" si="8"/>
        <v>474950</v>
      </c>
      <c r="V28" s="5">
        <f t="shared" si="9"/>
        <v>407100</v>
      </c>
      <c r="W28" s="5">
        <f t="shared" si="10"/>
        <v>339250</v>
      </c>
      <c r="X28" s="5">
        <f t="shared" si="11"/>
        <v>237475</v>
      </c>
      <c r="Y28" s="5">
        <f t="shared" si="12"/>
        <v>201854</v>
      </c>
      <c r="Z28" s="5">
        <f t="shared" si="13"/>
        <v>131205</v>
      </c>
      <c r="AA28" s="5">
        <f t="shared" si="14"/>
        <v>111524</v>
      </c>
      <c r="AB28" s="5">
        <f t="shared" si="15"/>
        <v>78067</v>
      </c>
    </row>
    <row r="29" spans="1:28">
      <c r="A29" s="3" t="s">
        <v>16</v>
      </c>
      <c r="B29" s="12" t="s">
        <v>76</v>
      </c>
      <c r="C29" s="12" t="s">
        <v>79</v>
      </c>
      <c r="D29" s="7" t="s">
        <v>58</v>
      </c>
      <c r="E29" s="7" t="s">
        <v>64</v>
      </c>
      <c r="F29" s="7" t="s">
        <v>68</v>
      </c>
      <c r="G29" s="13" t="s">
        <v>61</v>
      </c>
      <c r="H29" s="14">
        <v>1500</v>
      </c>
      <c r="I29" s="6">
        <v>5</v>
      </c>
      <c r="J29" s="14" t="s">
        <v>57</v>
      </c>
      <c r="K29" s="14" t="s">
        <v>74</v>
      </c>
      <c r="L29" s="8">
        <v>1390000</v>
      </c>
      <c r="M29" s="5">
        <f t="shared" si="0"/>
        <v>1320500</v>
      </c>
      <c r="N29" s="5">
        <f t="shared" si="1"/>
        <v>1181500</v>
      </c>
      <c r="O29" s="5">
        <f t="shared" si="2"/>
        <v>1112000</v>
      </c>
      <c r="P29" s="5">
        <f t="shared" si="3"/>
        <v>973000</v>
      </c>
      <c r="Q29" s="5">
        <f t="shared" si="4"/>
        <v>834000</v>
      </c>
      <c r="R29" s="5">
        <f t="shared" si="5"/>
        <v>695000</v>
      </c>
      <c r="S29" s="5">
        <f t="shared" si="6"/>
        <v>625500</v>
      </c>
      <c r="T29" s="5">
        <f t="shared" si="7"/>
        <v>556000</v>
      </c>
      <c r="U29" s="5">
        <f t="shared" si="8"/>
        <v>486500</v>
      </c>
      <c r="V29" s="5">
        <f t="shared" si="9"/>
        <v>417000</v>
      </c>
      <c r="W29" s="5">
        <f t="shared" si="10"/>
        <v>347500</v>
      </c>
      <c r="X29" s="5">
        <f t="shared" si="11"/>
        <v>243250</v>
      </c>
      <c r="Y29" s="5">
        <f t="shared" si="12"/>
        <v>206763</v>
      </c>
      <c r="Z29" s="5">
        <f t="shared" si="13"/>
        <v>134396</v>
      </c>
      <c r="AA29" s="5">
        <f t="shared" si="14"/>
        <v>114237</v>
      </c>
      <c r="AB29" s="5">
        <f t="shared" si="15"/>
        <v>79966</v>
      </c>
    </row>
    <row r="30" spans="1:28">
      <c r="A30" s="3" t="s">
        <v>16</v>
      </c>
      <c r="B30" s="12" t="s">
        <v>77</v>
      </c>
      <c r="C30" s="12" t="s">
        <v>79</v>
      </c>
      <c r="D30" s="7" t="s">
        <v>59</v>
      </c>
      <c r="E30" s="7" t="s">
        <v>65</v>
      </c>
      <c r="F30" s="7" t="s">
        <v>69</v>
      </c>
      <c r="G30" s="13" t="s">
        <v>62</v>
      </c>
      <c r="H30" s="15">
        <v>1462</v>
      </c>
      <c r="I30" s="6">
        <v>5</v>
      </c>
      <c r="J30" s="15" t="s">
        <v>60</v>
      </c>
      <c r="K30" s="15" t="s">
        <v>75</v>
      </c>
      <c r="L30" s="9">
        <v>1455000</v>
      </c>
      <c r="M30" s="5">
        <f t="shared" si="0"/>
        <v>1382250</v>
      </c>
      <c r="N30" s="5">
        <f t="shared" si="1"/>
        <v>1236750</v>
      </c>
      <c r="O30" s="5">
        <f t="shared" si="2"/>
        <v>1164000</v>
      </c>
      <c r="P30" s="5">
        <f t="shared" si="3"/>
        <v>1018500</v>
      </c>
      <c r="Q30" s="5">
        <f t="shared" si="4"/>
        <v>873000</v>
      </c>
      <c r="R30" s="5">
        <f t="shared" si="5"/>
        <v>727500</v>
      </c>
      <c r="S30" s="5">
        <f t="shared" si="6"/>
        <v>654750</v>
      </c>
      <c r="T30" s="5">
        <f t="shared" si="7"/>
        <v>582000</v>
      </c>
      <c r="U30" s="5">
        <f t="shared" si="8"/>
        <v>509250</v>
      </c>
      <c r="V30" s="5">
        <f t="shared" si="9"/>
        <v>436500</v>
      </c>
      <c r="W30" s="5">
        <f t="shared" si="10"/>
        <v>363750</v>
      </c>
      <c r="X30" s="5">
        <f t="shared" si="11"/>
        <v>254625</v>
      </c>
      <c r="Y30" s="5">
        <f t="shared" si="12"/>
        <v>216431</v>
      </c>
      <c r="Z30" s="5">
        <f t="shared" si="13"/>
        <v>140680</v>
      </c>
      <c r="AA30" s="5">
        <f t="shared" si="14"/>
        <v>119578</v>
      </c>
      <c r="AB30" s="5">
        <f t="shared" si="15"/>
        <v>83705</v>
      </c>
    </row>
    <row r="31" spans="1:28">
      <c r="A31" s="3" t="s">
        <v>16</v>
      </c>
      <c r="B31" s="12" t="s">
        <v>78</v>
      </c>
      <c r="C31" s="12" t="s">
        <v>79</v>
      </c>
      <c r="D31" s="7" t="s">
        <v>66</v>
      </c>
      <c r="E31" s="7" t="s">
        <v>67</v>
      </c>
      <c r="F31" s="7" t="s">
        <v>70</v>
      </c>
      <c r="G31" s="13" t="s">
        <v>63</v>
      </c>
      <c r="H31" s="16">
        <v>1493</v>
      </c>
      <c r="I31" s="6">
        <v>5</v>
      </c>
      <c r="J31" s="15" t="s">
        <v>57</v>
      </c>
      <c r="K31" s="17" t="s">
        <v>74</v>
      </c>
      <c r="L31" s="10">
        <v>1357000</v>
      </c>
      <c r="M31" s="5">
        <f t="shared" si="0"/>
        <v>1289150</v>
      </c>
      <c r="N31" s="5">
        <f t="shared" si="1"/>
        <v>1153450</v>
      </c>
      <c r="O31" s="5">
        <f t="shared" si="2"/>
        <v>1085600</v>
      </c>
      <c r="P31" s="5">
        <f t="shared" si="3"/>
        <v>949900</v>
      </c>
      <c r="Q31" s="5">
        <f t="shared" si="4"/>
        <v>814200</v>
      </c>
      <c r="R31" s="5">
        <f t="shared" si="5"/>
        <v>678500</v>
      </c>
      <c r="S31" s="5">
        <f t="shared" si="6"/>
        <v>610650</v>
      </c>
      <c r="T31" s="5">
        <f t="shared" si="7"/>
        <v>542800</v>
      </c>
      <c r="U31" s="5">
        <f t="shared" si="8"/>
        <v>474950</v>
      </c>
      <c r="V31" s="5">
        <f t="shared" si="9"/>
        <v>407100</v>
      </c>
      <c r="W31" s="5">
        <f t="shared" si="10"/>
        <v>339250</v>
      </c>
      <c r="X31" s="5">
        <f t="shared" si="11"/>
        <v>237475</v>
      </c>
      <c r="Y31" s="5">
        <f t="shared" si="12"/>
        <v>201854</v>
      </c>
      <c r="Z31" s="5">
        <f t="shared" si="13"/>
        <v>131205</v>
      </c>
      <c r="AA31" s="5">
        <f t="shared" si="14"/>
        <v>111524</v>
      </c>
      <c r="AB31" s="5">
        <f t="shared" si="15"/>
        <v>78067</v>
      </c>
    </row>
    <row r="32" spans="1:28">
      <c r="A32" s="3" t="s">
        <v>17</v>
      </c>
      <c r="B32" s="12" t="s">
        <v>76</v>
      </c>
      <c r="C32" s="12" t="s">
        <v>79</v>
      </c>
      <c r="D32" s="7" t="s">
        <v>58</v>
      </c>
      <c r="E32" s="7" t="s">
        <v>64</v>
      </c>
      <c r="F32" s="7" t="s">
        <v>68</v>
      </c>
      <c r="G32" s="13" t="s">
        <v>61</v>
      </c>
      <c r="H32" s="14">
        <v>1500</v>
      </c>
      <c r="I32" s="6">
        <v>5</v>
      </c>
      <c r="J32" s="14" t="s">
        <v>57</v>
      </c>
      <c r="K32" s="14" t="s">
        <v>74</v>
      </c>
      <c r="L32" s="8">
        <v>1390000</v>
      </c>
      <c r="M32" s="5">
        <f t="shared" si="0"/>
        <v>1320500</v>
      </c>
      <c r="N32" s="5">
        <f t="shared" si="1"/>
        <v>1181500</v>
      </c>
      <c r="O32" s="5">
        <f t="shared" si="2"/>
        <v>1112000</v>
      </c>
      <c r="P32" s="5">
        <f t="shared" si="3"/>
        <v>973000</v>
      </c>
      <c r="Q32" s="5">
        <f t="shared" si="4"/>
        <v>834000</v>
      </c>
      <c r="R32" s="5">
        <f t="shared" si="5"/>
        <v>695000</v>
      </c>
      <c r="S32" s="5">
        <f t="shared" si="6"/>
        <v>625500</v>
      </c>
      <c r="T32" s="5">
        <f t="shared" si="7"/>
        <v>556000</v>
      </c>
      <c r="U32" s="5">
        <f t="shared" si="8"/>
        <v>486500</v>
      </c>
      <c r="V32" s="5">
        <f t="shared" si="9"/>
        <v>417000</v>
      </c>
      <c r="W32" s="5">
        <f t="shared" si="10"/>
        <v>347500</v>
      </c>
      <c r="X32" s="5">
        <f t="shared" si="11"/>
        <v>243250</v>
      </c>
      <c r="Y32" s="5">
        <f t="shared" si="12"/>
        <v>206763</v>
      </c>
      <c r="Z32" s="5">
        <f t="shared" si="13"/>
        <v>134396</v>
      </c>
      <c r="AA32" s="5">
        <f t="shared" si="14"/>
        <v>114237</v>
      </c>
      <c r="AB32" s="5">
        <f t="shared" si="15"/>
        <v>79966</v>
      </c>
    </row>
    <row r="33" spans="1:28">
      <c r="A33" s="3" t="s">
        <v>17</v>
      </c>
      <c r="B33" s="12" t="s">
        <v>77</v>
      </c>
      <c r="C33" s="12" t="s">
        <v>79</v>
      </c>
      <c r="D33" s="7" t="s">
        <v>59</v>
      </c>
      <c r="E33" s="7" t="s">
        <v>65</v>
      </c>
      <c r="F33" s="7" t="s">
        <v>69</v>
      </c>
      <c r="G33" s="13" t="s">
        <v>62</v>
      </c>
      <c r="H33" s="15">
        <v>1462</v>
      </c>
      <c r="I33" s="6">
        <v>5</v>
      </c>
      <c r="J33" s="15" t="s">
        <v>60</v>
      </c>
      <c r="K33" s="15" t="s">
        <v>75</v>
      </c>
      <c r="L33" s="9">
        <v>1455000</v>
      </c>
      <c r="M33" s="5">
        <f t="shared" si="0"/>
        <v>1382250</v>
      </c>
      <c r="N33" s="5">
        <f t="shared" si="1"/>
        <v>1236750</v>
      </c>
      <c r="O33" s="5">
        <f t="shared" si="2"/>
        <v>1164000</v>
      </c>
      <c r="P33" s="5">
        <f t="shared" si="3"/>
        <v>1018500</v>
      </c>
      <c r="Q33" s="5">
        <f t="shared" si="4"/>
        <v>873000</v>
      </c>
      <c r="R33" s="5">
        <f t="shared" si="5"/>
        <v>727500</v>
      </c>
      <c r="S33" s="5">
        <f t="shared" si="6"/>
        <v>654750</v>
      </c>
      <c r="T33" s="5">
        <f t="shared" si="7"/>
        <v>582000</v>
      </c>
      <c r="U33" s="5">
        <f t="shared" si="8"/>
        <v>509250</v>
      </c>
      <c r="V33" s="5">
        <f t="shared" si="9"/>
        <v>436500</v>
      </c>
      <c r="W33" s="5">
        <f t="shared" si="10"/>
        <v>363750</v>
      </c>
      <c r="X33" s="5">
        <f t="shared" si="11"/>
        <v>254625</v>
      </c>
      <c r="Y33" s="5">
        <f t="shared" si="12"/>
        <v>216431</v>
      </c>
      <c r="Z33" s="5">
        <f t="shared" si="13"/>
        <v>140680</v>
      </c>
      <c r="AA33" s="5">
        <f t="shared" si="14"/>
        <v>119578</v>
      </c>
      <c r="AB33" s="5">
        <f t="shared" si="15"/>
        <v>83705</v>
      </c>
    </row>
    <row r="34" spans="1:28">
      <c r="A34" s="3" t="s">
        <v>17</v>
      </c>
      <c r="B34" s="12" t="s">
        <v>78</v>
      </c>
      <c r="C34" s="12" t="s">
        <v>79</v>
      </c>
      <c r="D34" s="7" t="s">
        <v>66</v>
      </c>
      <c r="E34" s="7" t="s">
        <v>67</v>
      </c>
      <c r="F34" s="7" t="s">
        <v>70</v>
      </c>
      <c r="G34" s="13" t="s">
        <v>63</v>
      </c>
      <c r="H34" s="16">
        <v>1493</v>
      </c>
      <c r="I34" s="6">
        <v>5</v>
      </c>
      <c r="J34" s="15" t="s">
        <v>57</v>
      </c>
      <c r="K34" s="17" t="s">
        <v>74</v>
      </c>
      <c r="L34" s="10">
        <v>1357000</v>
      </c>
      <c r="M34" s="5">
        <f t="shared" si="0"/>
        <v>1289150</v>
      </c>
      <c r="N34" s="5">
        <f t="shared" si="1"/>
        <v>1153450</v>
      </c>
      <c r="O34" s="5">
        <f t="shared" si="2"/>
        <v>1085600</v>
      </c>
      <c r="P34" s="5">
        <f t="shared" si="3"/>
        <v>949900</v>
      </c>
      <c r="Q34" s="5">
        <f t="shared" si="4"/>
        <v>814200</v>
      </c>
      <c r="R34" s="5">
        <f t="shared" si="5"/>
        <v>678500</v>
      </c>
      <c r="S34" s="5">
        <f t="shared" si="6"/>
        <v>610650</v>
      </c>
      <c r="T34" s="5">
        <f t="shared" si="7"/>
        <v>542800</v>
      </c>
      <c r="U34" s="5">
        <f t="shared" si="8"/>
        <v>474950</v>
      </c>
      <c r="V34" s="5">
        <f t="shared" si="9"/>
        <v>407100</v>
      </c>
      <c r="W34" s="5">
        <f t="shared" si="10"/>
        <v>339250</v>
      </c>
      <c r="X34" s="5">
        <f t="shared" si="11"/>
        <v>237475</v>
      </c>
      <c r="Y34" s="5">
        <f t="shared" si="12"/>
        <v>201854</v>
      </c>
      <c r="Z34" s="5">
        <f t="shared" si="13"/>
        <v>131205</v>
      </c>
      <c r="AA34" s="5">
        <f t="shared" si="14"/>
        <v>111524</v>
      </c>
      <c r="AB34" s="5">
        <f t="shared" si="15"/>
        <v>78067</v>
      </c>
    </row>
    <row r="35" spans="1:28">
      <c r="A35" s="3" t="s">
        <v>18</v>
      </c>
      <c r="B35" s="12" t="s">
        <v>76</v>
      </c>
      <c r="C35" s="12" t="s">
        <v>79</v>
      </c>
      <c r="D35" s="7" t="s">
        <v>58</v>
      </c>
      <c r="E35" s="7" t="s">
        <v>64</v>
      </c>
      <c r="F35" s="7" t="s">
        <v>68</v>
      </c>
      <c r="G35" s="13" t="s">
        <v>61</v>
      </c>
      <c r="H35" s="14">
        <v>1500</v>
      </c>
      <c r="I35" s="6">
        <v>5</v>
      </c>
      <c r="J35" s="14" t="s">
        <v>57</v>
      </c>
      <c r="K35" s="14" t="s">
        <v>74</v>
      </c>
      <c r="L35" s="8">
        <v>1390000</v>
      </c>
      <c r="M35" s="5">
        <f t="shared" si="0"/>
        <v>1320500</v>
      </c>
      <c r="N35" s="5">
        <f t="shared" si="1"/>
        <v>1181500</v>
      </c>
      <c r="O35" s="5">
        <f t="shared" si="2"/>
        <v>1112000</v>
      </c>
      <c r="P35" s="5">
        <f t="shared" si="3"/>
        <v>973000</v>
      </c>
      <c r="Q35" s="5">
        <f t="shared" si="4"/>
        <v>834000</v>
      </c>
      <c r="R35" s="5">
        <f t="shared" si="5"/>
        <v>695000</v>
      </c>
      <c r="S35" s="5">
        <f t="shared" si="6"/>
        <v>625500</v>
      </c>
      <c r="T35" s="5">
        <f t="shared" si="7"/>
        <v>556000</v>
      </c>
      <c r="U35" s="5">
        <f t="shared" si="8"/>
        <v>486500</v>
      </c>
      <c r="V35" s="5">
        <f t="shared" si="9"/>
        <v>417000</v>
      </c>
      <c r="W35" s="5">
        <f t="shared" si="10"/>
        <v>347500</v>
      </c>
      <c r="X35" s="5">
        <f t="shared" si="11"/>
        <v>243250</v>
      </c>
      <c r="Y35" s="5">
        <f t="shared" si="12"/>
        <v>206763</v>
      </c>
      <c r="Z35" s="5">
        <f t="shared" si="13"/>
        <v>134396</v>
      </c>
      <c r="AA35" s="5">
        <f t="shared" si="14"/>
        <v>114237</v>
      </c>
      <c r="AB35" s="5">
        <f t="shared" si="15"/>
        <v>79966</v>
      </c>
    </row>
    <row r="36" spans="1:28">
      <c r="A36" s="3" t="s">
        <v>18</v>
      </c>
      <c r="B36" s="12" t="s">
        <v>77</v>
      </c>
      <c r="C36" s="12" t="s">
        <v>79</v>
      </c>
      <c r="D36" s="7" t="s">
        <v>59</v>
      </c>
      <c r="E36" s="7" t="s">
        <v>65</v>
      </c>
      <c r="F36" s="7" t="s">
        <v>69</v>
      </c>
      <c r="G36" s="13" t="s">
        <v>62</v>
      </c>
      <c r="H36" s="15">
        <v>1462</v>
      </c>
      <c r="I36" s="6">
        <v>5</v>
      </c>
      <c r="J36" s="15" t="s">
        <v>60</v>
      </c>
      <c r="K36" s="15" t="s">
        <v>75</v>
      </c>
      <c r="L36" s="9">
        <v>1455000</v>
      </c>
      <c r="M36" s="5">
        <f t="shared" si="0"/>
        <v>1382250</v>
      </c>
      <c r="N36" s="5">
        <f t="shared" si="1"/>
        <v>1236750</v>
      </c>
      <c r="O36" s="5">
        <f t="shared" si="2"/>
        <v>1164000</v>
      </c>
      <c r="P36" s="5">
        <f t="shared" si="3"/>
        <v>1018500</v>
      </c>
      <c r="Q36" s="5">
        <f t="shared" si="4"/>
        <v>873000</v>
      </c>
      <c r="R36" s="5">
        <f t="shared" si="5"/>
        <v>727500</v>
      </c>
      <c r="S36" s="5">
        <f t="shared" si="6"/>
        <v>654750</v>
      </c>
      <c r="T36" s="5">
        <f t="shared" si="7"/>
        <v>582000</v>
      </c>
      <c r="U36" s="5">
        <f t="shared" si="8"/>
        <v>509250</v>
      </c>
      <c r="V36" s="5">
        <f t="shared" si="9"/>
        <v>436500</v>
      </c>
      <c r="W36" s="5">
        <f t="shared" si="10"/>
        <v>363750</v>
      </c>
      <c r="X36" s="5">
        <f t="shared" si="11"/>
        <v>254625</v>
      </c>
      <c r="Y36" s="5">
        <f t="shared" si="12"/>
        <v>216431</v>
      </c>
      <c r="Z36" s="5">
        <f t="shared" si="13"/>
        <v>140680</v>
      </c>
      <c r="AA36" s="5">
        <f t="shared" si="14"/>
        <v>119578</v>
      </c>
      <c r="AB36" s="5">
        <f t="shared" si="15"/>
        <v>83705</v>
      </c>
    </row>
    <row r="37" spans="1:28">
      <c r="A37" s="3" t="s">
        <v>18</v>
      </c>
      <c r="B37" s="12" t="s">
        <v>78</v>
      </c>
      <c r="C37" s="12" t="s">
        <v>79</v>
      </c>
      <c r="D37" s="7" t="s">
        <v>66</v>
      </c>
      <c r="E37" s="7" t="s">
        <v>67</v>
      </c>
      <c r="F37" s="7" t="s">
        <v>70</v>
      </c>
      <c r="G37" s="13" t="s">
        <v>63</v>
      </c>
      <c r="H37" s="16">
        <v>1493</v>
      </c>
      <c r="I37" s="6">
        <v>5</v>
      </c>
      <c r="J37" s="15" t="s">
        <v>57</v>
      </c>
      <c r="K37" s="17" t="s">
        <v>74</v>
      </c>
      <c r="L37" s="10">
        <v>1357000</v>
      </c>
      <c r="M37" s="5">
        <f t="shared" si="0"/>
        <v>1289150</v>
      </c>
      <c r="N37" s="5">
        <f t="shared" si="1"/>
        <v>1153450</v>
      </c>
      <c r="O37" s="5">
        <f t="shared" si="2"/>
        <v>1085600</v>
      </c>
      <c r="P37" s="5">
        <f t="shared" si="3"/>
        <v>949900</v>
      </c>
      <c r="Q37" s="5">
        <f t="shared" si="4"/>
        <v>814200</v>
      </c>
      <c r="R37" s="5">
        <f t="shared" si="5"/>
        <v>678500</v>
      </c>
      <c r="S37" s="5">
        <f t="shared" si="6"/>
        <v>610650</v>
      </c>
      <c r="T37" s="5">
        <f t="shared" si="7"/>
        <v>542800</v>
      </c>
      <c r="U37" s="5">
        <f t="shared" si="8"/>
        <v>474950</v>
      </c>
      <c r="V37" s="5">
        <f t="shared" si="9"/>
        <v>407100</v>
      </c>
      <c r="W37" s="5">
        <f t="shared" si="10"/>
        <v>339250</v>
      </c>
      <c r="X37" s="5">
        <f t="shared" si="11"/>
        <v>237475</v>
      </c>
      <c r="Y37" s="5">
        <f t="shared" si="12"/>
        <v>201854</v>
      </c>
      <c r="Z37" s="5">
        <f t="shared" si="13"/>
        <v>131205</v>
      </c>
      <c r="AA37" s="5">
        <f t="shared" si="14"/>
        <v>111524</v>
      </c>
      <c r="AB37" s="5">
        <f t="shared" si="15"/>
        <v>78067</v>
      </c>
    </row>
    <row r="38" spans="1:28">
      <c r="A38" s="3" t="s">
        <v>19</v>
      </c>
      <c r="B38" s="12" t="s">
        <v>76</v>
      </c>
      <c r="C38" s="12" t="s">
        <v>79</v>
      </c>
      <c r="D38" s="7" t="s">
        <v>58</v>
      </c>
      <c r="E38" s="7" t="s">
        <v>64</v>
      </c>
      <c r="F38" s="7" t="s">
        <v>68</v>
      </c>
      <c r="G38" s="13" t="s">
        <v>61</v>
      </c>
      <c r="H38" s="14">
        <v>1500</v>
      </c>
      <c r="I38" s="6">
        <v>5</v>
      </c>
      <c r="J38" s="14" t="s">
        <v>57</v>
      </c>
      <c r="K38" s="14" t="s">
        <v>74</v>
      </c>
      <c r="L38" s="8">
        <v>1390000</v>
      </c>
      <c r="M38" s="5">
        <f t="shared" si="0"/>
        <v>1320500</v>
      </c>
      <c r="N38" s="5">
        <f t="shared" si="1"/>
        <v>1181500</v>
      </c>
      <c r="O38" s="5">
        <f t="shared" si="2"/>
        <v>1112000</v>
      </c>
      <c r="P38" s="5">
        <f t="shared" si="3"/>
        <v>973000</v>
      </c>
      <c r="Q38" s="5">
        <f t="shared" si="4"/>
        <v>834000</v>
      </c>
      <c r="R38" s="5">
        <f t="shared" si="5"/>
        <v>695000</v>
      </c>
      <c r="S38" s="5">
        <f t="shared" si="6"/>
        <v>625500</v>
      </c>
      <c r="T38" s="5">
        <f t="shared" si="7"/>
        <v>556000</v>
      </c>
      <c r="U38" s="5">
        <f t="shared" si="8"/>
        <v>486500</v>
      </c>
      <c r="V38" s="5">
        <f t="shared" si="9"/>
        <v>417000</v>
      </c>
      <c r="W38" s="5">
        <f t="shared" si="10"/>
        <v>347500</v>
      </c>
      <c r="X38" s="5">
        <f t="shared" si="11"/>
        <v>243250</v>
      </c>
      <c r="Y38" s="5">
        <f t="shared" si="12"/>
        <v>206763</v>
      </c>
      <c r="Z38" s="5">
        <f t="shared" si="13"/>
        <v>134396</v>
      </c>
      <c r="AA38" s="5">
        <f t="shared" si="14"/>
        <v>114237</v>
      </c>
      <c r="AB38" s="5">
        <f t="shared" si="15"/>
        <v>79966</v>
      </c>
    </row>
    <row r="39" spans="1:28">
      <c r="A39" s="3" t="s">
        <v>19</v>
      </c>
      <c r="B39" s="12" t="s">
        <v>77</v>
      </c>
      <c r="C39" s="12" t="s">
        <v>79</v>
      </c>
      <c r="D39" s="7" t="s">
        <v>59</v>
      </c>
      <c r="E39" s="7" t="s">
        <v>65</v>
      </c>
      <c r="F39" s="7" t="s">
        <v>69</v>
      </c>
      <c r="G39" s="13" t="s">
        <v>62</v>
      </c>
      <c r="H39" s="15">
        <v>1462</v>
      </c>
      <c r="I39" s="6">
        <v>5</v>
      </c>
      <c r="J39" s="15" t="s">
        <v>60</v>
      </c>
      <c r="K39" s="15" t="s">
        <v>75</v>
      </c>
      <c r="L39" s="9">
        <v>1455000</v>
      </c>
      <c r="M39" s="5">
        <f t="shared" si="0"/>
        <v>1382250</v>
      </c>
      <c r="N39" s="5">
        <f t="shared" si="1"/>
        <v>1236750</v>
      </c>
      <c r="O39" s="5">
        <f t="shared" si="2"/>
        <v>1164000</v>
      </c>
      <c r="P39" s="5">
        <f t="shared" si="3"/>
        <v>1018500</v>
      </c>
      <c r="Q39" s="5">
        <f t="shared" si="4"/>
        <v>873000</v>
      </c>
      <c r="R39" s="5">
        <f t="shared" si="5"/>
        <v>727500</v>
      </c>
      <c r="S39" s="5">
        <f t="shared" si="6"/>
        <v>654750</v>
      </c>
      <c r="T39" s="5">
        <f t="shared" si="7"/>
        <v>582000</v>
      </c>
      <c r="U39" s="5">
        <f t="shared" si="8"/>
        <v>509250</v>
      </c>
      <c r="V39" s="5">
        <f t="shared" si="9"/>
        <v>436500</v>
      </c>
      <c r="W39" s="5">
        <f t="shared" si="10"/>
        <v>363750</v>
      </c>
      <c r="X39" s="5">
        <f t="shared" si="11"/>
        <v>254625</v>
      </c>
      <c r="Y39" s="5">
        <f t="shared" si="12"/>
        <v>216431</v>
      </c>
      <c r="Z39" s="5">
        <f t="shared" si="13"/>
        <v>140680</v>
      </c>
      <c r="AA39" s="5">
        <f t="shared" si="14"/>
        <v>119578</v>
      </c>
      <c r="AB39" s="5">
        <f t="shared" si="15"/>
        <v>83705</v>
      </c>
    </row>
    <row r="40" spans="1:28">
      <c r="A40" s="3" t="s">
        <v>19</v>
      </c>
      <c r="B40" s="12" t="s">
        <v>78</v>
      </c>
      <c r="C40" s="12" t="s">
        <v>79</v>
      </c>
      <c r="D40" s="7" t="s">
        <v>66</v>
      </c>
      <c r="E40" s="7" t="s">
        <v>67</v>
      </c>
      <c r="F40" s="7" t="s">
        <v>70</v>
      </c>
      <c r="G40" s="13" t="s">
        <v>63</v>
      </c>
      <c r="H40" s="16">
        <v>1493</v>
      </c>
      <c r="I40" s="6">
        <v>5</v>
      </c>
      <c r="J40" s="15" t="s">
        <v>57</v>
      </c>
      <c r="K40" s="17" t="s">
        <v>74</v>
      </c>
      <c r="L40" s="10">
        <v>1357000</v>
      </c>
      <c r="M40" s="5">
        <f t="shared" si="0"/>
        <v>1289150</v>
      </c>
      <c r="N40" s="5">
        <f t="shared" si="1"/>
        <v>1153450</v>
      </c>
      <c r="O40" s="5">
        <f t="shared" si="2"/>
        <v>1085600</v>
      </c>
      <c r="P40" s="5">
        <f t="shared" si="3"/>
        <v>949900</v>
      </c>
      <c r="Q40" s="5">
        <f t="shared" si="4"/>
        <v>814200</v>
      </c>
      <c r="R40" s="5">
        <f t="shared" si="5"/>
        <v>678500</v>
      </c>
      <c r="S40" s="5">
        <f t="shared" si="6"/>
        <v>610650</v>
      </c>
      <c r="T40" s="5">
        <f t="shared" si="7"/>
        <v>542800</v>
      </c>
      <c r="U40" s="5">
        <f t="shared" si="8"/>
        <v>474950</v>
      </c>
      <c r="V40" s="5">
        <f t="shared" si="9"/>
        <v>407100</v>
      </c>
      <c r="W40" s="5">
        <f t="shared" si="10"/>
        <v>339250</v>
      </c>
      <c r="X40" s="5">
        <f t="shared" si="11"/>
        <v>237475</v>
      </c>
      <c r="Y40" s="5">
        <f t="shared" si="12"/>
        <v>201854</v>
      </c>
      <c r="Z40" s="5">
        <f t="shared" si="13"/>
        <v>131205</v>
      </c>
      <c r="AA40" s="5">
        <f t="shared" si="14"/>
        <v>111524</v>
      </c>
      <c r="AB40" s="5">
        <f t="shared" si="15"/>
        <v>78067</v>
      </c>
    </row>
    <row r="41" spans="1:28">
      <c r="A41" s="3" t="s">
        <v>20</v>
      </c>
      <c r="B41" s="12" t="s">
        <v>76</v>
      </c>
      <c r="C41" s="12" t="s">
        <v>79</v>
      </c>
      <c r="D41" s="7" t="s">
        <v>58</v>
      </c>
      <c r="E41" s="7" t="s">
        <v>64</v>
      </c>
      <c r="F41" s="7" t="s">
        <v>68</v>
      </c>
      <c r="G41" s="13" t="s">
        <v>61</v>
      </c>
      <c r="H41" s="14">
        <v>1500</v>
      </c>
      <c r="I41" s="6">
        <v>5</v>
      </c>
      <c r="J41" s="14" t="s">
        <v>57</v>
      </c>
      <c r="K41" s="14" t="s">
        <v>74</v>
      </c>
      <c r="L41" s="8">
        <v>1390000</v>
      </c>
      <c r="M41" s="5">
        <f t="shared" si="0"/>
        <v>1320500</v>
      </c>
      <c r="N41" s="5">
        <f t="shared" si="1"/>
        <v>1181500</v>
      </c>
      <c r="O41" s="5">
        <f t="shared" si="2"/>
        <v>1112000</v>
      </c>
      <c r="P41" s="5">
        <f t="shared" si="3"/>
        <v>973000</v>
      </c>
      <c r="Q41" s="5">
        <f t="shared" si="4"/>
        <v>834000</v>
      </c>
      <c r="R41" s="5">
        <f t="shared" si="5"/>
        <v>695000</v>
      </c>
      <c r="S41" s="5">
        <f t="shared" si="6"/>
        <v>625500</v>
      </c>
      <c r="T41" s="5">
        <f t="shared" si="7"/>
        <v>556000</v>
      </c>
      <c r="U41" s="5">
        <f t="shared" si="8"/>
        <v>486500</v>
      </c>
      <c r="V41" s="5">
        <f t="shared" si="9"/>
        <v>417000</v>
      </c>
      <c r="W41" s="5">
        <f t="shared" si="10"/>
        <v>347500</v>
      </c>
      <c r="X41" s="5">
        <f t="shared" si="11"/>
        <v>243250</v>
      </c>
      <c r="Y41" s="5">
        <f t="shared" si="12"/>
        <v>206763</v>
      </c>
      <c r="Z41" s="5">
        <f t="shared" si="13"/>
        <v>134396</v>
      </c>
      <c r="AA41" s="5">
        <f t="shared" si="14"/>
        <v>114237</v>
      </c>
      <c r="AB41" s="5">
        <f t="shared" si="15"/>
        <v>79966</v>
      </c>
    </row>
    <row r="42" spans="1:28">
      <c r="A42" s="3" t="s">
        <v>20</v>
      </c>
      <c r="B42" s="12" t="s">
        <v>77</v>
      </c>
      <c r="C42" s="12" t="s">
        <v>79</v>
      </c>
      <c r="D42" s="7" t="s">
        <v>59</v>
      </c>
      <c r="E42" s="7" t="s">
        <v>65</v>
      </c>
      <c r="F42" s="7" t="s">
        <v>69</v>
      </c>
      <c r="G42" s="13" t="s">
        <v>62</v>
      </c>
      <c r="H42" s="15">
        <v>1462</v>
      </c>
      <c r="I42" s="6">
        <v>5</v>
      </c>
      <c r="J42" s="15" t="s">
        <v>60</v>
      </c>
      <c r="K42" s="15" t="s">
        <v>75</v>
      </c>
      <c r="L42" s="9">
        <v>1455000</v>
      </c>
      <c r="M42" s="5">
        <f t="shared" si="0"/>
        <v>1382250</v>
      </c>
      <c r="N42" s="5">
        <f t="shared" si="1"/>
        <v>1236750</v>
      </c>
      <c r="O42" s="5">
        <f t="shared" si="2"/>
        <v>1164000</v>
      </c>
      <c r="P42" s="5">
        <f t="shared" si="3"/>
        <v>1018500</v>
      </c>
      <c r="Q42" s="5">
        <f t="shared" si="4"/>
        <v>873000</v>
      </c>
      <c r="R42" s="5">
        <f t="shared" si="5"/>
        <v>727500</v>
      </c>
      <c r="S42" s="5">
        <f t="shared" si="6"/>
        <v>654750</v>
      </c>
      <c r="T42" s="5">
        <f t="shared" si="7"/>
        <v>582000</v>
      </c>
      <c r="U42" s="5">
        <f t="shared" si="8"/>
        <v>509250</v>
      </c>
      <c r="V42" s="5">
        <f t="shared" si="9"/>
        <v>436500</v>
      </c>
      <c r="W42" s="5">
        <f t="shared" si="10"/>
        <v>363750</v>
      </c>
      <c r="X42" s="5">
        <f t="shared" si="11"/>
        <v>254625</v>
      </c>
      <c r="Y42" s="5">
        <f t="shared" si="12"/>
        <v>216431</v>
      </c>
      <c r="Z42" s="5">
        <f t="shared" si="13"/>
        <v>140680</v>
      </c>
      <c r="AA42" s="5">
        <f t="shared" si="14"/>
        <v>119578</v>
      </c>
      <c r="AB42" s="5">
        <f t="shared" si="15"/>
        <v>83705</v>
      </c>
    </row>
    <row r="43" spans="1:28">
      <c r="A43" s="3" t="s">
        <v>20</v>
      </c>
      <c r="B43" s="12" t="s">
        <v>78</v>
      </c>
      <c r="C43" s="12" t="s">
        <v>79</v>
      </c>
      <c r="D43" s="7" t="s">
        <v>66</v>
      </c>
      <c r="E43" s="7" t="s">
        <v>67</v>
      </c>
      <c r="F43" s="7" t="s">
        <v>70</v>
      </c>
      <c r="G43" s="13" t="s">
        <v>63</v>
      </c>
      <c r="H43" s="16">
        <v>1493</v>
      </c>
      <c r="I43" s="6">
        <v>5</v>
      </c>
      <c r="J43" s="15" t="s">
        <v>57</v>
      </c>
      <c r="K43" s="17" t="s">
        <v>74</v>
      </c>
      <c r="L43" s="10">
        <v>1357000</v>
      </c>
      <c r="M43" s="5">
        <f t="shared" si="0"/>
        <v>1289150</v>
      </c>
      <c r="N43" s="5">
        <f t="shared" si="1"/>
        <v>1153450</v>
      </c>
      <c r="O43" s="5">
        <f t="shared" si="2"/>
        <v>1085600</v>
      </c>
      <c r="P43" s="5">
        <f t="shared" si="3"/>
        <v>949900</v>
      </c>
      <c r="Q43" s="5">
        <f t="shared" si="4"/>
        <v>814200</v>
      </c>
      <c r="R43" s="5">
        <f t="shared" si="5"/>
        <v>678500</v>
      </c>
      <c r="S43" s="5">
        <f t="shared" si="6"/>
        <v>610650</v>
      </c>
      <c r="T43" s="5">
        <f t="shared" si="7"/>
        <v>542800</v>
      </c>
      <c r="U43" s="5">
        <f t="shared" si="8"/>
        <v>474950</v>
      </c>
      <c r="V43" s="5">
        <f t="shared" si="9"/>
        <v>407100</v>
      </c>
      <c r="W43" s="5">
        <f t="shared" si="10"/>
        <v>339250</v>
      </c>
      <c r="X43" s="5">
        <f t="shared" si="11"/>
        <v>237475</v>
      </c>
      <c r="Y43" s="5">
        <f t="shared" si="12"/>
        <v>201854</v>
      </c>
      <c r="Z43" s="5">
        <f t="shared" si="13"/>
        <v>131205</v>
      </c>
      <c r="AA43" s="5">
        <f t="shared" si="14"/>
        <v>111524</v>
      </c>
      <c r="AB43" s="5">
        <f t="shared" si="15"/>
        <v>78067</v>
      </c>
    </row>
    <row r="44" spans="1:28">
      <c r="A44" s="3" t="s">
        <v>21</v>
      </c>
      <c r="B44" s="12" t="s">
        <v>76</v>
      </c>
      <c r="C44" s="12" t="s">
        <v>79</v>
      </c>
      <c r="D44" s="7" t="s">
        <v>58</v>
      </c>
      <c r="E44" s="7" t="s">
        <v>64</v>
      </c>
      <c r="F44" s="7" t="s">
        <v>68</v>
      </c>
      <c r="G44" s="13" t="s">
        <v>61</v>
      </c>
      <c r="H44" s="14">
        <v>1500</v>
      </c>
      <c r="I44" s="6">
        <v>5</v>
      </c>
      <c r="J44" s="14" t="s">
        <v>57</v>
      </c>
      <c r="K44" s="14" t="s">
        <v>74</v>
      </c>
      <c r="L44" s="8">
        <v>1390000</v>
      </c>
      <c r="M44" s="5">
        <f t="shared" si="0"/>
        <v>1320500</v>
      </c>
      <c r="N44" s="5">
        <f t="shared" si="1"/>
        <v>1181500</v>
      </c>
      <c r="O44" s="5">
        <f t="shared" si="2"/>
        <v>1112000</v>
      </c>
      <c r="P44" s="5">
        <f t="shared" si="3"/>
        <v>973000</v>
      </c>
      <c r="Q44" s="5">
        <f t="shared" si="4"/>
        <v>834000</v>
      </c>
      <c r="R44" s="5">
        <f t="shared" si="5"/>
        <v>695000</v>
      </c>
      <c r="S44" s="5">
        <f t="shared" si="6"/>
        <v>625500</v>
      </c>
      <c r="T44" s="5">
        <f t="shared" si="7"/>
        <v>556000</v>
      </c>
      <c r="U44" s="5">
        <f t="shared" si="8"/>
        <v>486500</v>
      </c>
      <c r="V44" s="5">
        <f t="shared" si="9"/>
        <v>417000</v>
      </c>
      <c r="W44" s="5">
        <f t="shared" si="10"/>
        <v>347500</v>
      </c>
      <c r="X44" s="5">
        <f t="shared" si="11"/>
        <v>243250</v>
      </c>
      <c r="Y44" s="5">
        <f t="shared" si="12"/>
        <v>206763</v>
      </c>
      <c r="Z44" s="5">
        <f t="shared" si="13"/>
        <v>134396</v>
      </c>
      <c r="AA44" s="5">
        <f t="shared" si="14"/>
        <v>114237</v>
      </c>
      <c r="AB44" s="5">
        <f t="shared" si="15"/>
        <v>79966</v>
      </c>
    </row>
    <row r="45" spans="1:28">
      <c r="A45" s="3" t="s">
        <v>21</v>
      </c>
      <c r="B45" s="12" t="s">
        <v>77</v>
      </c>
      <c r="C45" s="12" t="s">
        <v>79</v>
      </c>
      <c r="D45" s="7" t="s">
        <v>59</v>
      </c>
      <c r="E45" s="7" t="s">
        <v>65</v>
      </c>
      <c r="F45" s="7" t="s">
        <v>69</v>
      </c>
      <c r="G45" s="13" t="s">
        <v>62</v>
      </c>
      <c r="H45" s="15">
        <v>1462</v>
      </c>
      <c r="I45" s="6">
        <v>5</v>
      </c>
      <c r="J45" s="15" t="s">
        <v>60</v>
      </c>
      <c r="K45" s="15" t="s">
        <v>75</v>
      </c>
      <c r="L45" s="9">
        <v>1455000</v>
      </c>
      <c r="M45" s="5">
        <f t="shared" si="0"/>
        <v>1382250</v>
      </c>
      <c r="N45" s="5">
        <f t="shared" si="1"/>
        <v>1236750</v>
      </c>
      <c r="O45" s="5">
        <f t="shared" si="2"/>
        <v>1164000</v>
      </c>
      <c r="P45" s="5">
        <f t="shared" si="3"/>
        <v>1018500</v>
      </c>
      <c r="Q45" s="5">
        <f t="shared" si="4"/>
        <v>873000</v>
      </c>
      <c r="R45" s="5">
        <f t="shared" si="5"/>
        <v>727500</v>
      </c>
      <c r="S45" s="5">
        <f t="shared" si="6"/>
        <v>654750</v>
      </c>
      <c r="T45" s="5">
        <f t="shared" si="7"/>
        <v>582000</v>
      </c>
      <c r="U45" s="5">
        <f t="shared" si="8"/>
        <v>509250</v>
      </c>
      <c r="V45" s="5">
        <f t="shared" si="9"/>
        <v>436500</v>
      </c>
      <c r="W45" s="5">
        <f t="shared" si="10"/>
        <v>363750</v>
      </c>
      <c r="X45" s="5">
        <f t="shared" si="11"/>
        <v>254625</v>
      </c>
      <c r="Y45" s="5">
        <f t="shared" si="12"/>
        <v>216431</v>
      </c>
      <c r="Z45" s="5">
        <f t="shared" si="13"/>
        <v>140680</v>
      </c>
      <c r="AA45" s="5">
        <f t="shared" si="14"/>
        <v>119578</v>
      </c>
      <c r="AB45" s="5">
        <f t="shared" si="15"/>
        <v>83705</v>
      </c>
    </row>
    <row r="46" spans="1:28">
      <c r="A46" s="3" t="s">
        <v>21</v>
      </c>
      <c r="B46" s="12" t="s">
        <v>78</v>
      </c>
      <c r="C46" s="12" t="s">
        <v>79</v>
      </c>
      <c r="D46" s="7" t="s">
        <v>66</v>
      </c>
      <c r="E46" s="7" t="s">
        <v>67</v>
      </c>
      <c r="F46" s="7" t="s">
        <v>70</v>
      </c>
      <c r="G46" s="13" t="s">
        <v>63</v>
      </c>
      <c r="H46" s="16">
        <v>1493</v>
      </c>
      <c r="I46" s="6">
        <v>5</v>
      </c>
      <c r="J46" s="15" t="s">
        <v>57</v>
      </c>
      <c r="K46" s="17" t="s">
        <v>74</v>
      </c>
      <c r="L46" s="10">
        <v>1357000</v>
      </c>
      <c r="M46" s="5">
        <f t="shared" si="0"/>
        <v>1289150</v>
      </c>
      <c r="N46" s="5">
        <f t="shared" si="1"/>
        <v>1153450</v>
      </c>
      <c r="O46" s="5">
        <f t="shared" si="2"/>
        <v>1085600</v>
      </c>
      <c r="P46" s="5">
        <f t="shared" si="3"/>
        <v>949900</v>
      </c>
      <c r="Q46" s="5">
        <f t="shared" si="4"/>
        <v>814200</v>
      </c>
      <c r="R46" s="5">
        <f t="shared" si="5"/>
        <v>678500</v>
      </c>
      <c r="S46" s="5">
        <f t="shared" si="6"/>
        <v>610650</v>
      </c>
      <c r="T46" s="5">
        <f t="shared" si="7"/>
        <v>542800</v>
      </c>
      <c r="U46" s="5">
        <f t="shared" si="8"/>
        <v>474950</v>
      </c>
      <c r="V46" s="5">
        <f t="shared" si="9"/>
        <v>407100</v>
      </c>
      <c r="W46" s="5">
        <f t="shared" si="10"/>
        <v>339250</v>
      </c>
      <c r="X46" s="5">
        <f t="shared" si="11"/>
        <v>237475</v>
      </c>
      <c r="Y46" s="5">
        <f t="shared" si="12"/>
        <v>201854</v>
      </c>
      <c r="Z46" s="5">
        <f t="shared" si="13"/>
        <v>131205</v>
      </c>
      <c r="AA46" s="5">
        <f t="shared" si="14"/>
        <v>111524</v>
      </c>
      <c r="AB46" s="5">
        <f t="shared" si="15"/>
        <v>78067</v>
      </c>
    </row>
    <row r="47" spans="1:28">
      <c r="A47" s="3" t="s">
        <v>22</v>
      </c>
      <c r="B47" s="12" t="s">
        <v>76</v>
      </c>
      <c r="C47" s="12" t="s">
        <v>79</v>
      </c>
      <c r="D47" s="7" t="s">
        <v>58</v>
      </c>
      <c r="E47" s="7" t="s">
        <v>64</v>
      </c>
      <c r="F47" s="7" t="s">
        <v>68</v>
      </c>
      <c r="G47" s="13" t="s">
        <v>61</v>
      </c>
      <c r="H47" s="14">
        <v>1500</v>
      </c>
      <c r="I47" s="6">
        <v>5</v>
      </c>
      <c r="J47" s="14" t="s">
        <v>57</v>
      </c>
      <c r="K47" s="14" t="s">
        <v>74</v>
      </c>
      <c r="L47" s="8">
        <v>1390000</v>
      </c>
      <c r="M47" s="5">
        <f t="shared" si="0"/>
        <v>1320500</v>
      </c>
      <c r="N47" s="5">
        <f t="shared" si="1"/>
        <v>1181500</v>
      </c>
      <c r="O47" s="5">
        <f t="shared" si="2"/>
        <v>1112000</v>
      </c>
      <c r="P47" s="5">
        <f t="shared" si="3"/>
        <v>973000</v>
      </c>
      <c r="Q47" s="5">
        <f t="shared" si="4"/>
        <v>834000</v>
      </c>
      <c r="R47" s="5">
        <f t="shared" si="5"/>
        <v>695000</v>
      </c>
      <c r="S47" s="5">
        <f t="shared" si="6"/>
        <v>625500</v>
      </c>
      <c r="T47" s="5">
        <f t="shared" si="7"/>
        <v>556000</v>
      </c>
      <c r="U47" s="5">
        <f t="shared" si="8"/>
        <v>486500</v>
      </c>
      <c r="V47" s="5">
        <f t="shared" si="9"/>
        <v>417000</v>
      </c>
      <c r="W47" s="5">
        <f t="shared" si="10"/>
        <v>347500</v>
      </c>
      <c r="X47" s="5">
        <f t="shared" si="11"/>
        <v>243250</v>
      </c>
      <c r="Y47" s="5">
        <f t="shared" si="12"/>
        <v>206763</v>
      </c>
      <c r="Z47" s="5">
        <f t="shared" si="13"/>
        <v>134396</v>
      </c>
      <c r="AA47" s="5">
        <f t="shared" si="14"/>
        <v>114237</v>
      </c>
      <c r="AB47" s="5">
        <f t="shared" si="15"/>
        <v>79966</v>
      </c>
    </row>
    <row r="48" spans="1:28">
      <c r="A48" s="3" t="s">
        <v>22</v>
      </c>
      <c r="B48" s="12" t="s">
        <v>77</v>
      </c>
      <c r="C48" s="12" t="s">
        <v>79</v>
      </c>
      <c r="D48" s="7" t="s">
        <v>59</v>
      </c>
      <c r="E48" s="7" t="s">
        <v>65</v>
      </c>
      <c r="F48" s="7" t="s">
        <v>69</v>
      </c>
      <c r="G48" s="13" t="s">
        <v>62</v>
      </c>
      <c r="H48" s="15">
        <v>1462</v>
      </c>
      <c r="I48" s="6">
        <v>5</v>
      </c>
      <c r="J48" s="15" t="s">
        <v>60</v>
      </c>
      <c r="K48" s="15" t="s">
        <v>75</v>
      </c>
      <c r="L48" s="9">
        <v>1455000</v>
      </c>
      <c r="M48" s="5">
        <f t="shared" si="0"/>
        <v>1382250</v>
      </c>
      <c r="N48" s="5">
        <f t="shared" si="1"/>
        <v>1236750</v>
      </c>
      <c r="O48" s="5">
        <f t="shared" si="2"/>
        <v>1164000</v>
      </c>
      <c r="P48" s="5">
        <f t="shared" si="3"/>
        <v>1018500</v>
      </c>
      <c r="Q48" s="5">
        <f t="shared" si="4"/>
        <v>873000</v>
      </c>
      <c r="R48" s="5">
        <f t="shared" si="5"/>
        <v>727500</v>
      </c>
      <c r="S48" s="5">
        <f t="shared" si="6"/>
        <v>654750</v>
      </c>
      <c r="T48" s="5">
        <f t="shared" si="7"/>
        <v>582000</v>
      </c>
      <c r="U48" s="5">
        <f t="shared" si="8"/>
        <v>509250</v>
      </c>
      <c r="V48" s="5">
        <f t="shared" si="9"/>
        <v>436500</v>
      </c>
      <c r="W48" s="5">
        <f t="shared" si="10"/>
        <v>363750</v>
      </c>
      <c r="X48" s="5">
        <f t="shared" si="11"/>
        <v>254625</v>
      </c>
      <c r="Y48" s="5">
        <f t="shared" si="12"/>
        <v>216431</v>
      </c>
      <c r="Z48" s="5">
        <f t="shared" si="13"/>
        <v>140680</v>
      </c>
      <c r="AA48" s="5">
        <f t="shared" si="14"/>
        <v>119578</v>
      </c>
      <c r="AB48" s="5">
        <f t="shared" si="15"/>
        <v>83705</v>
      </c>
    </row>
    <row r="49" spans="1:28">
      <c r="A49" s="3" t="s">
        <v>22</v>
      </c>
      <c r="B49" s="12" t="s">
        <v>78</v>
      </c>
      <c r="C49" s="12" t="s">
        <v>79</v>
      </c>
      <c r="D49" s="7" t="s">
        <v>66</v>
      </c>
      <c r="E49" s="7" t="s">
        <v>67</v>
      </c>
      <c r="F49" s="7" t="s">
        <v>70</v>
      </c>
      <c r="G49" s="13" t="s">
        <v>63</v>
      </c>
      <c r="H49" s="16">
        <v>1493</v>
      </c>
      <c r="I49" s="6">
        <v>5</v>
      </c>
      <c r="J49" s="15" t="s">
        <v>57</v>
      </c>
      <c r="K49" s="17" t="s">
        <v>74</v>
      </c>
      <c r="L49" s="10">
        <v>1357000</v>
      </c>
      <c r="M49" s="5">
        <f t="shared" si="0"/>
        <v>1289150</v>
      </c>
      <c r="N49" s="5">
        <f t="shared" si="1"/>
        <v>1153450</v>
      </c>
      <c r="O49" s="5">
        <f t="shared" si="2"/>
        <v>1085600</v>
      </c>
      <c r="P49" s="5">
        <f t="shared" si="3"/>
        <v>949900</v>
      </c>
      <c r="Q49" s="5">
        <f t="shared" si="4"/>
        <v>814200</v>
      </c>
      <c r="R49" s="5">
        <f t="shared" si="5"/>
        <v>678500</v>
      </c>
      <c r="S49" s="5">
        <f t="shared" si="6"/>
        <v>610650</v>
      </c>
      <c r="T49" s="5">
        <f t="shared" si="7"/>
        <v>542800</v>
      </c>
      <c r="U49" s="5">
        <f t="shared" si="8"/>
        <v>474950</v>
      </c>
      <c r="V49" s="5">
        <f t="shared" si="9"/>
        <v>407100</v>
      </c>
      <c r="W49" s="5">
        <f t="shared" si="10"/>
        <v>339250</v>
      </c>
      <c r="X49" s="5">
        <f t="shared" si="11"/>
        <v>237475</v>
      </c>
      <c r="Y49" s="5">
        <f t="shared" si="12"/>
        <v>201854</v>
      </c>
      <c r="Z49" s="5">
        <f t="shared" si="13"/>
        <v>131205</v>
      </c>
      <c r="AA49" s="5">
        <f t="shared" si="14"/>
        <v>111524</v>
      </c>
      <c r="AB49" s="5">
        <f t="shared" si="15"/>
        <v>78067</v>
      </c>
    </row>
    <row r="50" spans="1:28">
      <c r="A50" s="3" t="s">
        <v>23</v>
      </c>
      <c r="B50" s="12" t="s">
        <v>76</v>
      </c>
      <c r="C50" s="12" t="s">
        <v>79</v>
      </c>
      <c r="D50" s="7" t="s">
        <v>58</v>
      </c>
      <c r="E50" s="7" t="s">
        <v>64</v>
      </c>
      <c r="F50" s="7" t="s">
        <v>68</v>
      </c>
      <c r="G50" s="13" t="s">
        <v>61</v>
      </c>
      <c r="H50" s="14">
        <v>1500</v>
      </c>
      <c r="I50" s="6">
        <v>5</v>
      </c>
      <c r="J50" s="14" t="s">
        <v>57</v>
      </c>
      <c r="K50" s="14" t="s">
        <v>74</v>
      </c>
      <c r="L50" s="8">
        <v>1390000</v>
      </c>
      <c r="M50" s="5">
        <f t="shared" si="0"/>
        <v>1320500</v>
      </c>
      <c r="N50" s="5">
        <f t="shared" si="1"/>
        <v>1181500</v>
      </c>
      <c r="O50" s="5">
        <f t="shared" si="2"/>
        <v>1112000</v>
      </c>
      <c r="P50" s="5">
        <f t="shared" si="3"/>
        <v>973000</v>
      </c>
      <c r="Q50" s="5">
        <f t="shared" si="4"/>
        <v>834000</v>
      </c>
      <c r="R50" s="5">
        <f t="shared" si="5"/>
        <v>695000</v>
      </c>
      <c r="S50" s="5">
        <f t="shared" si="6"/>
        <v>625500</v>
      </c>
      <c r="T50" s="5">
        <f t="shared" si="7"/>
        <v>556000</v>
      </c>
      <c r="U50" s="5">
        <f t="shared" si="8"/>
        <v>486500</v>
      </c>
      <c r="V50" s="5">
        <f t="shared" si="9"/>
        <v>417000</v>
      </c>
      <c r="W50" s="5">
        <f t="shared" si="10"/>
        <v>347500</v>
      </c>
      <c r="X50" s="5">
        <f t="shared" si="11"/>
        <v>243250</v>
      </c>
      <c r="Y50" s="5">
        <f t="shared" si="12"/>
        <v>206763</v>
      </c>
      <c r="Z50" s="5">
        <f t="shared" si="13"/>
        <v>134396</v>
      </c>
      <c r="AA50" s="5">
        <f t="shared" si="14"/>
        <v>114237</v>
      </c>
      <c r="AB50" s="5">
        <f t="shared" si="15"/>
        <v>79966</v>
      </c>
    </row>
    <row r="51" spans="1:28">
      <c r="A51" s="3" t="s">
        <v>23</v>
      </c>
      <c r="B51" s="12" t="s">
        <v>77</v>
      </c>
      <c r="C51" s="12" t="s">
        <v>79</v>
      </c>
      <c r="D51" s="7" t="s">
        <v>59</v>
      </c>
      <c r="E51" s="7" t="s">
        <v>65</v>
      </c>
      <c r="F51" s="7" t="s">
        <v>69</v>
      </c>
      <c r="G51" s="13" t="s">
        <v>62</v>
      </c>
      <c r="H51" s="15">
        <v>1462</v>
      </c>
      <c r="I51" s="6">
        <v>5</v>
      </c>
      <c r="J51" s="15" t="s">
        <v>60</v>
      </c>
      <c r="K51" s="15" t="s">
        <v>75</v>
      </c>
      <c r="L51" s="9">
        <v>1455000</v>
      </c>
      <c r="M51" s="5">
        <f t="shared" si="0"/>
        <v>1382250</v>
      </c>
      <c r="N51" s="5">
        <f t="shared" si="1"/>
        <v>1236750</v>
      </c>
      <c r="O51" s="5">
        <f t="shared" si="2"/>
        <v>1164000</v>
      </c>
      <c r="P51" s="5">
        <f t="shared" si="3"/>
        <v>1018500</v>
      </c>
      <c r="Q51" s="5">
        <f t="shared" si="4"/>
        <v>873000</v>
      </c>
      <c r="R51" s="5">
        <f t="shared" si="5"/>
        <v>727500</v>
      </c>
      <c r="S51" s="5">
        <f t="shared" si="6"/>
        <v>654750</v>
      </c>
      <c r="T51" s="5">
        <f t="shared" si="7"/>
        <v>582000</v>
      </c>
      <c r="U51" s="5">
        <f t="shared" si="8"/>
        <v>509250</v>
      </c>
      <c r="V51" s="5">
        <f t="shared" si="9"/>
        <v>436500</v>
      </c>
      <c r="W51" s="5">
        <f t="shared" si="10"/>
        <v>363750</v>
      </c>
      <c r="X51" s="5">
        <f t="shared" si="11"/>
        <v>254625</v>
      </c>
      <c r="Y51" s="5">
        <f t="shared" si="12"/>
        <v>216431</v>
      </c>
      <c r="Z51" s="5">
        <f t="shared" si="13"/>
        <v>140680</v>
      </c>
      <c r="AA51" s="5">
        <f t="shared" si="14"/>
        <v>119578</v>
      </c>
      <c r="AB51" s="5">
        <f t="shared" si="15"/>
        <v>83705</v>
      </c>
    </row>
    <row r="52" spans="1:28">
      <c r="A52" s="3" t="s">
        <v>23</v>
      </c>
      <c r="B52" s="12" t="s">
        <v>78</v>
      </c>
      <c r="C52" s="12" t="s">
        <v>79</v>
      </c>
      <c r="D52" s="7" t="s">
        <v>66</v>
      </c>
      <c r="E52" s="7" t="s">
        <v>67</v>
      </c>
      <c r="F52" s="7" t="s">
        <v>70</v>
      </c>
      <c r="G52" s="13" t="s">
        <v>63</v>
      </c>
      <c r="H52" s="16">
        <v>1493</v>
      </c>
      <c r="I52" s="6">
        <v>5</v>
      </c>
      <c r="J52" s="15" t="s">
        <v>57</v>
      </c>
      <c r="K52" s="17" t="s">
        <v>74</v>
      </c>
      <c r="L52" s="10">
        <v>1357000</v>
      </c>
      <c r="M52" s="5">
        <f t="shared" si="0"/>
        <v>1289150</v>
      </c>
      <c r="N52" s="5">
        <f t="shared" si="1"/>
        <v>1153450</v>
      </c>
      <c r="O52" s="5">
        <f t="shared" si="2"/>
        <v>1085600</v>
      </c>
      <c r="P52" s="5">
        <f t="shared" si="3"/>
        <v>949900</v>
      </c>
      <c r="Q52" s="5">
        <f t="shared" si="4"/>
        <v>814200</v>
      </c>
      <c r="R52" s="5">
        <f t="shared" si="5"/>
        <v>678500</v>
      </c>
      <c r="S52" s="5">
        <f t="shared" si="6"/>
        <v>610650</v>
      </c>
      <c r="T52" s="5">
        <f t="shared" si="7"/>
        <v>542800</v>
      </c>
      <c r="U52" s="5">
        <f t="shared" si="8"/>
        <v>474950</v>
      </c>
      <c r="V52" s="5">
        <f t="shared" si="9"/>
        <v>407100</v>
      </c>
      <c r="W52" s="5">
        <f t="shared" si="10"/>
        <v>339250</v>
      </c>
      <c r="X52" s="5">
        <f t="shared" si="11"/>
        <v>237475</v>
      </c>
      <c r="Y52" s="5">
        <f t="shared" si="12"/>
        <v>201854</v>
      </c>
      <c r="Z52" s="5">
        <f t="shared" si="13"/>
        <v>131205</v>
      </c>
      <c r="AA52" s="5">
        <f t="shared" si="14"/>
        <v>111524</v>
      </c>
      <c r="AB52" s="5">
        <f t="shared" si="15"/>
        <v>78067</v>
      </c>
    </row>
    <row r="53" spans="1:28">
      <c r="A53" s="3" t="s">
        <v>24</v>
      </c>
      <c r="B53" s="12" t="s">
        <v>76</v>
      </c>
      <c r="C53" s="12" t="s">
        <v>79</v>
      </c>
      <c r="D53" s="7" t="s">
        <v>58</v>
      </c>
      <c r="E53" s="7" t="s">
        <v>64</v>
      </c>
      <c r="F53" s="7" t="s">
        <v>68</v>
      </c>
      <c r="G53" s="13" t="s">
        <v>61</v>
      </c>
      <c r="H53" s="14">
        <v>1500</v>
      </c>
      <c r="I53" s="6">
        <v>5</v>
      </c>
      <c r="J53" s="14" t="s">
        <v>57</v>
      </c>
      <c r="K53" s="14" t="s">
        <v>74</v>
      </c>
      <c r="L53" s="8">
        <v>1390000</v>
      </c>
      <c r="M53" s="5">
        <f t="shared" si="0"/>
        <v>1320500</v>
      </c>
      <c r="N53" s="5">
        <f t="shared" si="1"/>
        <v>1181500</v>
      </c>
      <c r="O53" s="5">
        <f t="shared" si="2"/>
        <v>1112000</v>
      </c>
      <c r="P53" s="5">
        <f t="shared" si="3"/>
        <v>973000</v>
      </c>
      <c r="Q53" s="5">
        <f t="shared" si="4"/>
        <v>834000</v>
      </c>
      <c r="R53" s="5">
        <f t="shared" si="5"/>
        <v>695000</v>
      </c>
      <c r="S53" s="5">
        <f t="shared" si="6"/>
        <v>625500</v>
      </c>
      <c r="T53" s="5">
        <f t="shared" si="7"/>
        <v>556000</v>
      </c>
      <c r="U53" s="5">
        <f t="shared" si="8"/>
        <v>486500</v>
      </c>
      <c r="V53" s="5">
        <f t="shared" si="9"/>
        <v>417000</v>
      </c>
      <c r="W53" s="5">
        <f t="shared" si="10"/>
        <v>347500</v>
      </c>
      <c r="X53" s="5">
        <f t="shared" si="11"/>
        <v>243250</v>
      </c>
      <c r="Y53" s="5">
        <f t="shared" si="12"/>
        <v>206763</v>
      </c>
      <c r="Z53" s="5">
        <f t="shared" si="13"/>
        <v>134396</v>
      </c>
      <c r="AA53" s="5">
        <f t="shared" si="14"/>
        <v>114237</v>
      </c>
      <c r="AB53" s="5">
        <f t="shared" si="15"/>
        <v>79966</v>
      </c>
    </row>
    <row r="54" spans="1:28">
      <c r="A54" s="3" t="s">
        <v>24</v>
      </c>
      <c r="B54" s="12" t="s">
        <v>77</v>
      </c>
      <c r="C54" s="12" t="s">
        <v>79</v>
      </c>
      <c r="D54" s="7" t="s">
        <v>59</v>
      </c>
      <c r="E54" s="7" t="s">
        <v>65</v>
      </c>
      <c r="F54" s="7" t="s">
        <v>69</v>
      </c>
      <c r="G54" s="13" t="s">
        <v>62</v>
      </c>
      <c r="H54" s="15">
        <v>1462</v>
      </c>
      <c r="I54" s="6">
        <v>5</v>
      </c>
      <c r="J54" s="15" t="s">
        <v>60</v>
      </c>
      <c r="K54" s="15" t="s">
        <v>75</v>
      </c>
      <c r="L54" s="9">
        <v>1455000</v>
      </c>
      <c r="M54" s="5">
        <f t="shared" si="0"/>
        <v>1382250</v>
      </c>
      <c r="N54" s="5">
        <f t="shared" si="1"/>
        <v>1236750</v>
      </c>
      <c r="O54" s="5">
        <f t="shared" si="2"/>
        <v>1164000</v>
      </c>
      <c r="P54" s="5">
        <f t="shared" si="3"/>
        <v>1018500</v>
      </c>
      <c r="Q54" s="5">
        <f t="shared" si="4"/>
        <v>873000</v>
      </c>
      <c r="R54" s="5">
        <f t="shared" si="5"/>
        <v>727500</v>
      </c>
      <c r="S54" s="5">
        <f t="shared" si="6"/>
        <v>654750</v>
      </c>
      <c r="T54" s="5">
        <f t="shared" si="7"/>
        <v>582000</v>
      </c>
      <c r="U54" s="5">
        <f t="shared" si="8"/>
        <v>509250</v>
      </c>
      <c r="V54" s="5">
        <f t="shared" si="9"/>
        <v>436500</v>
      </c>
      <c r="W54" s="5">
        <f t="shared" si="10"/>
        <v>363750</v>
      </c>
      <c r="X54" s="5">
        <f t="shared" si="11"/>
        <v>254625</v>
      </c>
      <c r="Y54" s="5">
        <f t="shared" si="12"/>
        <v>216431</v>
      </c>
      <c r="Z54" s="5">
        <f t="shared" si="13"/>
        <v>140680</v>
      </c>
      <c r="AA54" s="5">
        <f t="shared" si="14"/>
        <v>119578</v>
      </c>
      <c r="AB54" s="5">
        <f t="shared" si="15"/>
        <v>83705</v>
      </c>
    </row>
    <row r="55" spans="1:28">
      <c r="A55" s="3" t="s">
        <v>24</v>
      </c>
      <c r="B55" s="12" t="s">
        <v>78</v>
      </c>
      <c r="C55" s="12" t="s">
        <v>79</v>
      </c>
      <c r="D55" s="7" t="s">
        <v>66</v>
      </c>
      <c r="E55" s="7" t="s">
        <v>67</v>
      </c>
      <c r="F55" s="7" t="s">
        <v>70</v>
      </c>
      <c r="G55" s="13" t="s">
        <v>63</v>
      </c>
      <c r="H55" s="16">
        <v>1493</v>
      </c>
      <c r="I55" s="6">
        <v>5</v>
      </c>
      <c r="J55" s="15" t="s">
        <v>57</v>
      </c>
      <c r="K55" s="17" t="s">
        <v>74</v>
      </c>
      <c r="L55" s="10">
        <v>1357000</v>
      </c>
      <c r="M55" s="5">
        <f t="shared" si="0"/>
        <v>1289150</v>
      </c>
      <c r="N55" s="5">
        <f t="shared" si="1"/>
        <v>1153450</v>
      </c>
      <c r="O55" s="5">
        <f t="shared" si="2"/>
        <v>1085600</v>
      </c>
      <c r="P55" s="5">
        <f t="shared" si="3"/>
        <v>949900</v>
      </c>
      <c r="Q55" s="5">
        <f t="shared" si="4"/>
        <v>814200</v>
      </c>
      <c r="R55" s="5">
        <f t="shared" si="5"/>
        <v>678500</v>
      </c>
      <c r="S55" s="5">
        <f t="shared" si="6"/>
        <v>610650</v>
      </c>
      <c r="T55" s="5">
        <f t="shared" si="7"/>
        <v>542800</v>
      </c>
      <c r="U55" s="5">
        <f t="shared" si="8"/>
        <v>474950</v>
      </c>
      <c r="V55" s="5">
        <f t="shared" si="9"/>
        <v>407100</v>
      </c>
      <c r="W55" s="5">
        <f t="shared" si="10"/>
        <v>339250</v>
      </c>
      <c r="X55" s="5">
        <f t="shared" si="11"/>
        <v>237475</v>
      </c>
      <c r="Y55" s="5">
        <f t="shared" si="12"/>
        <v>201854</v>
      </c>
      <c r="Z55" s="5">
        <f t="shared" si="13"/>
        <v>131205</v>
      </c>
      <c r="AA55" s="5">
        <f t="shared" si="14"/>
        <v>111524</v>
      </c>
      <c r="AB55" s="5">
        <f t="shared" si="15"/>
        <v>78067</v>
      </c>
    </row>
    <row r="56" spans="1:28">
      <c r="A56" s="3" t="s">
        <v>25</v>
      </c>
      <c r="B56" s="12" t="s">
        <v>76</v>
      </c>
      <c r="C56" s="12" t="s">
        <v>79</v>
      </c>
      <c r="D56" s="7" t="s">
        <v>58</v>
      </c>
      <c r="E56" s="7" t="s">
        <v>64</v>
      </c>
      <c r="F56" s="7" t="s">
        <v>68</v>
      </c>
      <c r="G56" s="13" t="s">
        <v>61</v>
      </c>
      <c r="H56" s="14">
        <v>1500</v>
      </c>
      <c r="I56" s="6">
        <v>5</v>
      </c>
      <c r="J56" s="14" t="s">
        <v>57</v>
      </c>
      <c r="K56" s="14" t="s">
        <v>74</v>
      </c>
      <c r="L56" s="8">
        <v>1390000</v>
      </c>
      <c r="M56" s="5">
        <f t="shared" si="0"/>
        <v>1320500</v>
      </c>
      <c r="N56" s="5">
        <f t="shared" si="1"/>
        <v>1181500</v>
      </c>
      <c r="O56" s="5">
        <f t="shared" si="2"/>
        <v>1112000</v>
      </c>
      <c r="P56" s="5">
        <f t="shared" si="3"/>
        <v>973000</v>
      </c>
      <c r="Q56" s="5">
        <f t="shared" si="4"/>
        <v>834000</v>
      </c>
      <c r="R56" s="5">
        <f t="shared" si="5"/>
        <v>695000</v>
      </c>
      <c r="S56" s="5">
        <f t="shared" si="6"/>
        <v>625500</v>
      </c>
      <c r="T56" s="5">
        <f t="shared" si="7"/>
        <v>556000</v>
      </c>
      <c r="U56" s="5">
        <f t="shared" si="8"/>
        <v>486500</v>
      </c>
      <c r="V56" s="5">
        <f t="shared" si="9"/>
        <v>417000</v>
      </c>
      <c r="W56" s="5">
        <f t="shared" si="10"/>
        <v>347500</v>
      </c>
      <c r="X56" s="5">
        <f t="shared" si="11"/>
        <v>243250</v>
      </c>
      <c r="Y56" s="5">
        <f t="shared" si="12"/>
        <v>206763</v>
      </c>
      <c r="Z56" s="5">
        <f t="shared" si="13"/>
        <v>134396</v>
      </c>
      <c r="AA56" s="5">
        <f t="shared" si="14"/>
        <v>114237</v>
      </c>
      <c r="AB56" s="5">
        <f t="shared" si="15"/>
        <v>79966</v>
      </c>
    </row>
    <row r="57" spans="1:28">
      <c r="A57" s="3" t="s">
        <v>25</v>
      </c>
      <c r="B57" s="12" t="s">
        <v>77</v>
      </c>
      <c r="C57" s="12" t="s">
        <v>79</v>
      </c>
      <c r="D57" s="7" t="s">
        <v>59</v>
      </c>
      <c r="E57" s="7" t="s">
        <v>65</v>
      </c>
      <c r="F57" s="7" t="s">
        <v>69</v>
      </c>
      <c r="G57" s="13" t="s">
        <v>62</v>
      </c>
      <c r="H57" s="15">
        <v>1462</v>
      </c>
      <c r="I57" s="6">
        <v>5</v>
      </c>
      <c r="J57" s="15" t="s">
        <v>60</v>
      </c>
      <c r="K57" s="15" t="s">
        <v>75</v>
      </c>
      <c r="L57" s="9">
        <v>1455000</v>
      </c>
      <c r="M57" s="5">
        <f t="shared" si="0"/>
        <v>1382250</v>
      </c>
      <c r="N57" s="5">
        <f t="shared" si="1"/>
        <v>1236750</v>
      </c>
      <c r="O57" s="5">
        <f t="shared" si="2"/>
        <v>1164000</v>
      </c>
      <c r="P57" s="5">
        <f t="shared" si="3"/>
        <v>1018500</v>
      </c>
      <c r="Q57" s="5">
        <f t="shared" si="4"/>
        <v>873000</v>
      </c>
      <c r="R57" s="5">
        <f t="shared" si="5"/>
        <v>727500</v>
      </c>
      <c r="S57" s="5">
        <f t="shared" si="6"/>
        <v>654750</v>
      </c>
      <c r="T57" s="5">
        <f t="shared" si="7"/>
        <v>582000</v>
      </c>
      <c r="U57" s="5">
        <f t="shared" si="8"/>
        <v>509250</v>
      </c>
      <c r="V57" s="5">
        <f t="shared" si="9"/>
        <v>436500</v>
      </c>
      <c r="W57" s="5">
        <f t="shared" si="10"/>
        <v>363750</v>
      </c>
      <c r="X57" s="5">
        <f t="shared" si="11"/>
        <v>254625</v>
      </c>
      <c r="Y57" s="5">
        <f t="shared" si="12"/>
        <v>216431</v>
      </c>
      <c r="Z57" s="5">
        <f t="shared" si="13"/>
        <v>140680</v>
      </c>
      <c r="AA57" s="5">
        <f t="shared" si="14"/>
        <v>119578</v>
      </c>
      <c r="AB57" s="5">
        <f t="shared" si="15"/>
        <v>83705</v>
      </c>
    </row>
    <row r="58" spans="1:28">
      <c r="A58" s="3" t="s">
        <v>25</v>
      </c>
      <c r="B58" s="12" t="s">
        <v>78</v>
      </c>
      <c r="C58" s="12" t="s">
        <v>79</v>
      </c>
      <c r="D58" s="7" t="s">
        <v>66</v>
      </c>
      <c r="E58" s="7" t="s">
        <v>67</v>
      </c>
      <c r="F58" s="7" t="s">
        <v>70</v>
      </c>
      <c r="G58" s="13" t="s">
        <v>63</v>
      </c>
      <c r="H58" s="16">
        <v>1493</v>
      </c>
      <c r="I58" s="6">
        <v>5</v>
      </c>
      <c r="J58" s="15" t="s">
        <v>57</v>
      </c>
      <c r="K58" s="17" t="s">
        <v>74</v>
      </c>
      <c r="L58" s="10">
        <v>1357000</v>
      </c>
      <c r="M58" s="5">
        <f t="shared" si="0"/>
        <v>1289150</v>
      </c>
      <c r="N58" s="5">
        <f t="shared" si="1"/>
        <v>1153450</v>
      </c>
      <c r="O58" s="5">
        <f t="shared" si="2"/>
        <v>1085600</v>
      </c>
      <c r="P58" s="5">
        <f t="shared" si="3"/>
        <v>949900</v>
      </c>
      <c r="Q58" s="5">
        <f t="shared" si="4"/>
        <v>814200</v>
      </c>
      <c r="R58" s="5">
        <f t="shared" si="5"/>
        <v>678500</v>
      </c>
      <c r="S58" s="5">
        <f t="shared" si="6"/>
        <v>610650</v>
      </c>
      <c r="T58" s="5">
        <f t="shared" si="7"/>
        <v>542800</v>
      </c>
      <c r="U58" s="5">
        <f t="shared" si="8"/>
        <v>474950</v>
      </c>
      <c r="V58" s="5">
        <f t="shared" si="9"/>
        <v>407100</v>
      </c>
      <c r="W58" s="5">
        <f t="shared" si="10"/>
        <v>339250</v>
      </c>
      <c r="X58" s="5">
        <f t="shared" si="11"/>
        <v>237475</v>
      </c>
      <c r="Y58" s="5">
        <f t="shared" si="12"/>
        <v>201854</v>
      </c>
      <c r="Z58" s="5">
        <f t="shared" si="13"/>
        <v>131205</v>
      </c>
      <c r="AA58" s="5">
        <f t="shared" si="14"/>
        <v>111524</v>
      </c>
      <c r="AB58" s="5">
        <f t="shared" si="15"/>
        <v>78067</v>
      </c>
    </row>
    <row r="59" spans="1:28">
      <c r="A59" s="3" t="s">
        <v>26</v>
      </c>
      <c r="B59" s="12" t="s">
        <v>76</v>
      </c>
      <c r="C59" s="12" t="s">
        <v>79</v>
      </c>
      <c r="D59" s="7" t="s">
        <v>58</v>
      </c>
      <c r="E59" s="7" t="s">
        <v>64</v>
      </c>
      <c r="F59" s="7" t="s">
        <v>68</v>
      </c>
      <c r="G59" s="13" t="s">
        <v>61</v>
      </c>
      <c r="H59" s="14">
        <v>1500</v>
      </c>
      <c r="I59" s="6">
        <v>5</v>
      </c>
      <c r="J59" s="14" t="s">
        <v>57</v>
      </c>
      <c r="K59" s="14" t="s">
        <v>74</v>
      </c>
      <c r="L59" s="8">
        <v>1390000</v>
      </c>
      <c r="M59" s="5">
        <f t="shared" si="0"/>
        <v>1320500</v>
      </c>
      <c r="N59" s="5">
        <f t="shared" si="1"/>
        <v>1181500</v>
      </c>
      <c r="O59" s="5">
        <f t="shared" si="2"/>
        <v>1112000</v>
      </c>
      <c r="P59" s="5">
        <f t="shared" si="3"/>
        <v>973000</v>
      </c>
      <c r="Q59" s="5">
        <f t="shared" si="4"/>
        <v>834000</v>
      </c>
      <c r="R59" s="5">
        <f t="shared" si="5"/>
        <v>695000</v>
      </c>
      <c r="S59" s="5">
        <f t="shared" si="6"/>
        <v>625500</v>
      </c>
      <c r="T59" s="5">
        <f t="shared" si="7"/>
        <v>556000</v>
      </c>
      <c r="U59" s="5">
        <f t="shared" si="8"/>
        <v>486500</v>
      </c>
      <c r="V59" s="5">
        <f t="shared" si="9"/>
        <v>417000</v>
      </c>
      <c r="W59" s="5">
        <f t="shared" si="10"/>
        <v>347500</v>
      </c>
      <c r="X59" s="5">
        <f t="shared" si="11"/>
        <v>243250</v>
      </c>
      <c r="Y59" s="5">
        <f t="shared" si="12"/>
        <v>206763</v>
      </c>
      <c r="Z59" s="5">
        <f t="shared" si="13"/>
        <v>134396</v>
      </c>
      <c r="AA59" s="5">
        <f t="shared" si="14"/>
        <v>114237</v>
      </c>
      <c r="AB59" s="5">
        <f t="shared" si="15"/>
        <v>79966</v>
      </c>
    </row>
    <row r="60" spans="1:28">
      <c r="A60" s="3" t="s">
        <v>26</v>
      </c>
      <c r="B60" s="12" t="s">
        <v>77</v>
      </c>
      <c r="C60" s="12" t="s">
        <v>79</v>
      </c>
      <c r="D60" s="7" t="s">
        <v>59</v>
      </c>
      <c r="E60" s="7" t="s">
        <v>65</v>
      </c>
      <c r="F60" s="7" t="s">
        <v>69</v>
      </c>
      <c r="G60" s="13" t="s">
        <v>62</v>
      </c>
      <c r="H60" s="15">
        <v>1462</v>
      </c>
      <c r="I60" s="6">
        <v>5</v>
      </c>
      <c r="J60" s="15" t="s">
        <v>60</v>
      </c>
      <c r="K60" s="15" t="s">
        <v>75</v>
      </c>
      <c r="L60" s="9">
        <v>1455000</v>
      </c>
      <c r="M60" s="5">
        <f t="shared" si="0"/>
        <v>1382250</v>
      </c>
      <c r="N60" s="5">
        <f t="shared" si="1"/>
        <v>1236750</v>
      </c>
      <c r="O60" s="5">
        <f t="shared" si="2"/>
        <v>1164000</v>
      </c>
      <c r="P60" s="5">
        <f t="shared" si="3"/>
        <v>1018500</v>
      </c>
      <c r="Q60" s="5">
        <f t="shared" si="4"/>
        <v>873000</v>
      </c>
      <c r="R60" s="5">
        <f t="shared" si="5"/>
        <v>727500</v>
      </c>
      <c r="S60" s="5">
        <f t="shared" si="6"/>
        <v>654750</v>
      </c>
      <c r="T60" s="5">
        <f t="shared" si="7"/>
        <v>582000</v>
      </c>
      <c r="U60" s="5">
        <f t="shared" si="8"/>
        <v>509250</v>
      </c>
      <c r="V60" s="5">
        <f t="shared" si="9"/>
        <v>436500</v>
      </c>
      <c r="W60" s="5">
        <f t="shared" si="10"/>
        <v>363750</v>
      </c>
      <c r="X60" s="5">
        <f t="shared" si="11"/>
        <v>254625</v>
      </c>
      <c r="Y60" s="5">
        <f t="shared" si="12"/>
        <v>216431</v>
      </c>
      <c r="Z60" s="5">
        <f t="shared" si="13"/>
        <v>140680</v>
      </c>
      <c r="AA60" s="5">
        <f t="shared" si="14"/>
        <v>119578</v>
      </c>
      <c r="AB60" s="5">
        <f t="shared" si="15"/>
        <v>83705</v>
      </c>
    </row>
    <row r="61" spans="1:28">
      <c r="A61" s="3" t="s">
        <v>26</v>
      </c>
      <c r="B61" s="12" t="s">
        <v>78</v>
      </c>
      <c r="C61" s="12" t="s">
        <v>79</v>
      </c>
      <c r="D61" s="7" t="s">
        <v>66</v>
      </c>
      <c r="E61" s="7" t="s">
        <v>67</v>
      </c>
      <c r="F61" s="7" t="s">
        <v>70</v>
      </c>
      <c r="G61" s="13" t="s">
        <v>63</v>
      </c>
      <c r="H61" s="16">
        <v>1493</v>
      </c>
      <c r="I61" s="6">
        <v>5</v>
      </c>
      <c r="J61" s="15" t="s">
        <v>57</v>
      </c>
      <c r="K61" s="17" t="s">
        <v>74</v>
      </c>
      <c r="L61" s="10">
        <v>1357000</v>
      </c>
      <c r="M61" s="5">
        <f t="shared" si="0"/>
        <v>1289150</v>
      </c>
      <c r="N61" s="5">
        <f t="shared" si="1"/>
        <v>1153450</v>
      </c>
      <c r="O61" s="5">
        <f t="shared" si="2"/>
        <v>1085600</v>
      </c>
      <c r="P61" s="5">
        <f t="shared" si="3"/>
        <v>949900</v>
      </c>
      <c r="Q61" s="5">
        <f t="shared" si="4"/>
        <v>814200</v>
      </c>
      <c r="R61" s="5">
        <f t="shared" si="5"/>
        <v>678500</v>
      </c>
      <c r="S61" s="5">
        <f t="shared" si="6"/>
        <v>610650</v>
      </c>
      <c r="T61" s="5">
        <f t="shared" si="7"/>
        <v>542800</v>
      </c>
      <c r="U61" s="5">
        <f t="shared" si="8"/>
        <v>474950</v>
      </c>
      <c r="V61" s="5">
        <f t="shared" si="9"/>
        <v>407100</v>
      </c>
      <c r="W61" s="5">
        <f t="shared" si="10"/>
        <v>339250</v>
      </c>
      <c r="X61" s="5">
        <f t="shared" si="11"/>
        <v>237475</v>
      </c>
      <c r="Y61" s="5">
        <f t="shared" si="12"/>
        <v>201854</v>
      </c>
      <c r="Z61" s="5">
        <f t="shared" si="13"/>
        <v>131205</v>
      </c>
      <c r="AA61" s="5">
        <f t="shared" si="14"/>
        <v>111524</v>
      </c>
      <c r="AB61" s="5">
        <f t="shared" si="15"/>
        <v>78067</v>
      </c>
    </row>
    <row r="62" spans="1:28">
      <c r="A62" s="3" t="s">
        <v>27</v>
      </c>
      <c r="B62" s="12" t="s">
        <v>76</v>
      </c>
      <c r="C62" s="12" t="s">
        <v>79</v>
      </c>
      <c r="D62" s="7" t="s">
        <v>58</v>
      </c>
      <c r="E62" s="7" t="s">
        <v>64</v>
      </c>
      <c r="F62" s="7" t="s">
        <v>68</v>
      </c>
      <c r="G62" s="13" t="s">
        <v>61</v>
      </c>
      <c r="H62" s="14">
        <v>1500</v>
      </c>
      <c r="I62" s="6">
        <v>5</v>
      </c>
      <c r="J62" s="14" t="s">
        <v>57</v>
      </c>
      <c r="K62" s="14" t="s">
        <v>74</v>
      </c>
      <c r="L62" s="8">
        <v>1390000</v>
      </c>
      <c r="M62" s="5">
        <f t="shared" si="0"/>
        <v>1320500</v>
      </c>
      <c r="N62" s="5">
        <f t="shared" si="1"/>
        <v>1181500</v>
      </c>
      <c r="O62" s="5">
        <f t="shared" si="2"/>
        <v>1112000</v>
      </c>
      <c r="P62" s="5">
        <f t="shared" si="3"/>
        <v>973000</v>
      </c>
      <c r="Q62" s="5">
        <f t="shared" si="4"/>
        <v>834000</v>
      </c>
      <c r="R62" s="5">
        <f t="shared" si="5"/>
        <v>695000</v>
      </c>
      <c r="S62" s="5">
        <f t="shared" si="6"/>
        <v>625500</v>
      </c>
      <c r="T62" s="5">
        <f t="shared" si="7"/>
        <v>556000</v>
      </c>
      <c r="U62" s="5">
        <f t="shared" si="8"/>
        <v>486500</v>
      </c>
      <c r="V62" s="5">
        <f t="shared" si="9"/>
        <v>417000</v>
      </c>
      <c r="W62" s="5">
        <f t="shared" si="10"/>
        <v>347500</v>
      </c>
      <c r="X62" s="5">
        <f t="shared" si="11"/>
        <v>243250</v>
      </c>
      <c r="Y62" s="5">
        <f t="shared" si="12"/>
        <v>206763</v>
      </c>
      <c r="Z62" s="5">
        <f t="shared" si="13"/>
        <v>134396</v>
      </c>
      <c r="AA62" s="5">
        <f t="shared" si="14"/>
        <v>114237</v>
      </c>
      <c r="AB62" s="5">
        <f t="shared" si="15"/>
        <v>79966</v>
      </c>
    </row>
    <row r="63" spans="1:28">
      <c r="A63" s="3" t="s">
        <v>27</v>
      </c>
      <c r="B63" s="12" t="s">
        <v>77</v>
      </c>
      <c r="C63" s="12" t="s">
        <v>79</v>
      </c>
      <c r="D63" s="7" t="s">
        <v>59</v>
      </c>
      <c r="E63" s="7" t="s">
        <v>65</v>
      </c>
      <c r="F63" s="7" t="s">
        <v>69</v>
      </c>
      <c r="G63" s="13" t="s">
        <v>62</v>
      </c>
      <c r="H63" s="15">
        <v>1462</v>
      </c>
      <c r="I63" s="6">
        <v>5</v>
      </c>
      <c r="J63" s="15" t="s">
        <v>60</v>
      </c>
      <c r="K63" s="15" t="s">
        <v>75</v>
      </c>
      <c r="L63" s="9">
        <v>1455000</v>
      </c>
      <c r="M63" s="5">
        <f t="shared" si="0"/>
        <v>1382250</v>
      </c>
      <c r="N63" s="5">
        <f t="shared" si="1"/>
        <v>1236750</v>
      </c>
      <c r="O63" s="5">
        <f t="shared" si="2"/>
        <v>1164000</v>
      </c>
      <c r="P63" s="5">
        <f t="shared" si="3"/>
        <v>1018500</v>
      </c>
      <c r="Q63" s="5">
        <f t="shared" si="4"/>
        <v>873000</v>
      </c>
      <c r="R63" s="5">
        <f t="shared" si="5"/>
        <v>727500</v>
      </c>
      <c r="S63" s="5">
        <f t="shared" si="6"/>
        <v>654750</v>
      </c>
      <c r="T63" s="5">
        <f t="shared" si="7"/>
        <v>582000</v>
      </c>
      <c r="U63" s="5">
        <f t="shared" si="8"/>
        <v>509250</v>
      </c>
      <c r="V63" s="5">
        <f t="shared" si="9"/>
        <v>436500</v>
      </c>
      <c r="W63" s="5">
        <f t="shared" si="10"/>
        <v>363750</v>
      </c>
      <c r="X63" s="5">
        <f t="shared" si="11"/>
        <v>254625</v>
      </c>
      <c r="Y63" s="5">
        <f t="shared" si="12"/>
        <v>216431</v>
      </c>
      <c r="Z63" s="5">
        <f t="shared" si="13"/>
        <v>140680</v>
      </c>
      <c r="AA63" s="5">
        <f t="shared" si="14"/>
        <v>119578</v>
      </c>
      <c r="AB63" s="5">
        <f t="shared" si="15"/>
        <v>83705</v>
      </c>
    </row>
    <row r="64" spans="1:28">
      <c r="A64" s="3" t="s">
        <v>27</v>
      </c>
      <c r="B64" s="12" t="s">
        <v>78</v>
      </c>
      <c r="C64" s="12" t="s">
        <v>79</v>
      </c>
      <c r="D64" s="7" t="s">
        <v>66</v>
      </c>
      <c r="E64" s="7" t="s">
        <v>67</v>
      </c>
      <c r="F64" s="7" t="s">
        <v>70</v>
      </c>
      <c r="G64" s="13" t="s">
        <v>63</v>
      </c>
      <c r="H64" s="16">
        <v>1493</v>
      </c>
      <c r="I64" s="6">
        <v>5</v>
      </c>
      <c r="J64" s="15" t="s">
        <v>57</v>
      </c>
      <c r="K64" s="17" t="s">
        <v>74</v>
      </c>
      <c r="L64" s="10">
        <v>1357000</v>
      </c>
      <c r="M64" s="5">
        <f t="shared" si="0"/>
        <v>1289150</v>
      </c>
      <c r="N64" s="5">
        <f t="shared" si="1"/>
        <v>1153450</v>
      </c>
      <c r="O64" s="5">
        <f t="shared" si="2"/>
        <v>1085600</v>
      </c>
      <c r="P64" s="5">
        <f t="shared" si="3"/>
        <v>949900</v>
      </c>
      <c r="Q64" s="5">
        <f t="shared" si="4"/>
        <v>814200</v>
      </c>
      <c r="R64" s="5">
        <f t="shared" si="5"/>
        <v>678500</v>
      </c>
      <c r="S64" s="5">
        <f t="shared" si="6"/>
        <v>610650</v>
      </c>
      <c r="T64" s="5">
        <f t="shared" si="7"/>
        <v>542800</v>
      </c>
      <c r="U64" s="5">
        <f t="shared" si="8"/>
        <v>474950</v>
      </c>
      <c r="V64" s="5">
        <f t="shared" si="9"/>
        <v>407100</v>
      </c>
      <c r="W64" s="5">
        <f t="shared" si="10"/>
        <v>339250</v>
      </c>
      <c r="X64" s="5">
        <f t="shared" si="11"/>
        <v>237475</v>
      </c>
      <c r="Y64" s="5">
        <f t="shared" si="12"/>
        <v>201854</v>
      </c>
      <c r="Z64" s="5">
        <f t="shared" si="13"/>
        <v>131205</v>
      </c>
      <c r="AA64" s="5">
        <f t="shared" si="14"/>
        <v>111524</v>
      </c>
      <c r="AB64" s="5">
        <f t="shared" si="15"/>
        <v>78067</v>
      </c>
    </row>
    <row r="65" spans="1:28">
      <c r="A65" s="3" t="s">
        <v>56</v>
      </c>
      <c r="B65" s="12" t="s">
        <v>76</v>
      </c>
      <c r="C65" s="12" t="s">
        <v>79</v>
      </c>
      <c r="D65" s="7" t="s">
        <v>58</v>
      </c>
      <c r="E65" s="7" t="s">
        <v>64</v>
      </c>
      <c r="F65" s="7" t="s">
        <v>68</v>
      </c>
      <c r="G65" s="13" t="s">
        <v>61</v>
      </c>
      <c r="H65" s="14">
        <v>1500</v>
      </c>
      <c r="I65" s="6">
        <v>5</v>
      </c>
      <c r="J65" s="14" t="s">
        <v>57</v>
      </c>
      <c r="K65" s="14" t="s">
        <v>74</v>
      </c>
      <c r="L65" s="8">
        <v>1390000</v>
      </c>
      <c r="M65" s="5">
        <f t="shared" si="0"/>
        <v>1320500</v>
      </c>
      <c r="N65" s="5">
        <f t="shared" si="1"/>
        <v>1181500</v>
      </c>
      <c r="O65" s="5">
        <f t="shared" si="2"/>
        <v>1112000</v>
      </c>
      <c r="P65" s="5">
        <f t="shared" si="3"/>
        <v>973000</v>
      </c>
      <c r="Q65" s="5">
        <f t="shared" si="4"/>
        <v>834000</v>
      </c>
      <c r="R65" s="5">
        <f t="shared" si="5"/>
        <v>695000</v>
      </c>
      <c r="S65" s="5">
        <f t="shared" si="6"/>
        <v>625500</v>
      </c>
      <c r="T65" s="5">
        <f t="shared" si="7"/>
        <v>556000</v>
      </c>
      <c r="U65" s="5">
        <f t="shared" si="8"/>
        <v>486500</v>
      </c>
      <c r="V65" s="5">
        <f t="shared" si="9"/>
        <v>417000</v>
      </c>
      <c r="W65" s="5">
        <f t="shared" si="10"/>
        <v>347500</v>
      </c>
      <c r="X65" s="5">
        <f t="shared" si="11"/>
        <v>243250</v>
      </c>
      <c r="Y65" s="5">
        <f t="shared" si="12"/>
        <v>206763</v>
      </c>
      <c r="Z65" s="5">
        <f t="shared" si="13"/>
        <v>134396</v>
      </c>
      <c r="AA65" s="5">
        <f t="shared" si="14"/>
        <v>114237</v>
      </c>
      <c r="AB65" s="5">
        <f t="shared" si="15"/>
        <v>79966</v>
      </c>
    </row>
    <row r="66" spans="1:28">
      <c r="A66" s="3" t="s">
        <v>56</v>
      </c>
      <c r="B66" s="12" t="s">
        <v>77</v>
      </c>
      <c r="C66" s="12" t="s">
        <v>79</v>
      </c>
      <c r="D66" s="7" t="s">
        <v>59</v>
      </c>
      <c r="E66" s="7" t="s">
        <v>65</v>
      </c>
      <c r="F66" s="7" t="s">
        <v>69</v>
      </c>
      <c r="G66" s="13" t="s">
        <v>62</v>
      </c>
      <c r="H66" s="15">
        <v>1462</v>
      </c>
      <c r="I66" s="6">
        <v>5</v>
      </c>
      <c r="J66" s="15" t="s">
        <v>60</v>
      </c>
      <c r="K66" s="15" t="s">
        <v>75</v>
      </c>
      <c r="L66" s="9">
        <v>1455000</v>
      </c>
      <c r="M66" s="5">
        <f t="shared" si="0"/>
        <v>1382250</v>
      </c>
      <c r="N66" s="5">
        <f t="shared" si="1"/>
        <v>1236750</v>
      </c>
      <c r="O66" s="5">
        <f t="shared" si="2"/>
        <v>1164000</v>
      </c>
      <c r="P66" s="5">
        <f t="shared" si="3"/>
        <v>1018500</v>
      </c>
      <c r="Q66" s="5">
        <f t="shared" si="4"/>
        <v>873000</v>
      </c>
      <c r="R66" s="5">
        <f t="shared" si="5"/>
        <v>727500</v>
      </c>
      <c r="S66" s="5">
        <f t="shared" si="6"/>
        <v>654750</v>
      </c>
      <c r="T66" s="5">
        <f t="shared" si="7"/>
        <v>582000</v>
      </c>
      <c r="U66" s="5">
        <f t="shared" si="8"/>
        <v>509250</v>
      </c>
      <c r="V66" s="5">
        <f t="shared" si="9"/>
        <v>436500</v>
      </c>
      <c r="W66" s="5">
        <f t="shared" si="10"/>
        <v>363750</v>
      </c>
      <c r="X66" s="5">
        <f t="shared" si="11"/>
        <v>254625</v>
      </c>
      <c r="Y66" s="5">
        <f t="shared" si="12"/>
        <v>216431</v>
      </c>
      <c r="Z66" s="5">
        <f t="shared" si="13"/>
        <v>140680</v>
      </c>
      <c r="AA66" s="5">
        <f t="shared" si="14"/>
        <v>119578</v>
      </c>
      <c r="AB66" s="5">
        <f t="shared" si="15"/>
        <v>83705</v>
      </c>
    </row>
    <row r="67" spans="1:28">
      <c r="A67" s="3" t="s">
        <v>56</v>
      </c>
      <c r="B67" s="12" t="s">
        <v>78</v>
      </c>
      <c r="C67" s="12" t="s">
        <v>79</v>
      </c>
      <c r="D67" s="7" t="s">
        <v>66</v>
      </c>
      <c r="E67" s="7" t="s">
        <v>67</v>
      </c>
      <c r="F67" s="7" t="s">
        <v>70</v>
      </c>
      <c r="G67" s="13" t="s">
        <v>63</v>
      </c>
      <c r="H67" s="16">
        <v>1493</v>
      </c>
      <c r="I67" s="6">
        <v>5</v>
      </c>
      <c r="J67" s="15" t="s">
        <v>57</v>
      </c>
      <c r="K67" s="17" t="s">
        <v>74</v>
      </c>
      <c r="L67" s="10">
        <v>1357000</v>
      </c>
      <c r="M67" s="5">
        <f t="shared" ref="M67:M97" si="16">ROUND(SUM(L67*0.95),0)</f>
        <v>1289150</v>
      </c>
      <c r="N67" s="5">
        <f t="shared" ref="N67:N97" si="17">ROUND(SUM(L67*0.85),0)</f>
        <v>1153450</v>
      </c>
      <c r="O67" s="5">
        <f t="shared" ref="O67:O97" si="18">ROUND(SUM(L67*0.8),0)</f>
        <v>1085600</v>
      </c>
      <c r="P67" s="5">
        <f t="shared" ref="P67:P97" si="19">ROUND(SUM(L67*0.7),0)</f>
        <v>949900</v>
      </c>
      <c r="Q67" s="5">
        <f t="shared" ref="Q67:Q97" si="20">ROUND(SUM(L67*0.6),0)</f>
        <v>814200</v>
      </c>
      <c r="R67" s="5">
        <f t="shared" ref="R67:R97" si="21">ROUND(SUM(L67*0.5),0)</f>
        <v>678500</v>
      </c>
      <c r="S67" s="5">
        <f t="shared" ref="S67:S97" si="22">ROUND(SUM(L67*0.45),0)</f>
        <v>610650</v>
      </c>
      <c r="T67" s="5">
        <f t="shared" ref="T67:T97" si="23">ROUND(SUM(L67*0.4),0)</f>
        <v>542800</v>
      </c>
      <c r="U67" s="5">
        <f t="shared" ref="U67:U97" si="24">ROUND(SUM(L67*0.35),0)</f>
        <v>474950</v>
      </c>
      <c r="V67" s="5">
        <f t="shared" ref="V67:V97" si="25">ROUND(SUM(L67*0.3),0)</f>
        <v>407100</v>
      </c>
      <c r="W67" s="5">
        <f t="shared" ref="W67:W97" si="26">ROUND(SUM(L67*0.25),0)</f>
        <v>339250</v>
      </c>
      <c r="X67" s="5">
        <f t="shared" ref="X67:X97" si="27">ROUND(SUM(W67*0.7),0)</f>
        <v>237475</v>
      </c>
      <c r="Y67" s="5">
        <f t="shared" ref="Y67:Y97" si="28">ROUND(SUM(X67*0.85),0)</f>
        <v>201854</v>
      </c>
      <c r="Z67" s="5">
        <f t="shared" ref="Z67:Z97" si="29">ROUND(SUM(Y67*0.65),0)</f>
        <v>131205</v>
      </c>
      <c r="AA67" s="5">
        <f t="shared" ref="AA67:AA97" si="30">ROUND(SUM(Z67*0.85),0)</f>
        <v>111524</v>
      </c>
      <c r="AB67" s="5">
        <f t="shared" ref="AB67:AB97" si="31">ROUND(SUM(AA67*0.7),0)</f>
        <v>78067</v>
      </c>
    </row>
    <row r="68" spans="1:28">
      <c r="A68" s="3" t="s">
        <v>28</v>
      </c>
      <c r="B68" s="12" t="s">
        <v>76</v>
      </c>
      <c r="C68" s="12" t="s">
        <v>79</v>
      </c>
      <c r="D68" s="7" t="s">
        <v>58</v>
      </c>
      <c r="E68" s="7" t="s">
        <v>64</v>
      </c>
      <c r="F68" s="7" t="s">
        <v>68</v>
      </c>
      <c r="G68" s="13" t="s">
        <v>61</v>
      </c>
      <c r="H68" s="14">
        <v>1500</v>
      </c>
      <c r="I68" s="6">
        <v>5</v>
      </c>
      <c r="J68" s="14" t="s">
        <v>57</v>
      </c>
      <c r="K68" s="14" t="s">
        <v>74</v>
      </c>
      <c r="L68" s="8">
        <v>1390000</v>
      </c>
      <c r="M68" s="5">
        <f t="shared" si="16"/>
        <v>1320500</v>
      </c>
      <c r="N68" s="5">
        <f t="shared" si="17"/>
        <v>1181500</v>
      </c>
      <c r="O68" s="5">
        <f t="shared" si="18"/>
        <v>1112000</v>
      </c>
      <c r="P68" s="5">
        <f t="shared" si="19"/>
        <v>973000</v>
      </c>
      <c r="Q68" s="5">
        <f t="shared" si="20"/>
        <v>834000</v>
      </c>
      <c r="R68" s="5">
        <f t="shared" si="21"/>
        <v>695000</v>
      </c>
      <c r="S68" s="5">
        <f t="shared" si="22"/>
        <v>625500</v>
      </c>
      <c r="T68" s="5">
        <f t="shared" si="23"/>
        <v>556000</v>
      </c>
      <c r="U68" s="5">
        <f t="shared" si="24"/>
        <v>486500</v>
      </c>
      <c r="V68" s="5">
        <f t="shared" si="25"/>
        <v>417000</v>
      </c>
      <c r="W68" s="5">
        <f t="shared" si="26"/>
        <v>347500</v>
      </c>
      <c r="X68" s="5">
        <f t="shared" si="27"/>
        <v>243250</v>
      </c>
      <c r="Y68" s="5">
        <f t="shared" si="28"/>
        <v>206763</v>
      </c>
      <c r="Z68" s="5">
        <f t="shared" si="29"/>
        <v>134396</v>
      </c>
      <c r="AA68" s="5">
        <f t="shared" si="30"/>
        <v>114237</v>
      </c>
      <c r="AB68" s="5">
        <f t="shared" si="31"/>
        <v>79966</v>
      </c>
    </row>
    <row r="69" spans="1:28">
      <c r="A69" s="3" t="s">
        <v>28</v>
      </c>
      <c r="B69" s="12" t="s">
        <v>77</v>
      </c>
      <c r="C69" s="12" t="s">
        <v>79</v>
      </c>
      <c r="D69" s="7" t="s">
        <v>59</v>
      </c>
      <c r="E69" s="7" t="s">
        <v>65</v>
      </c>
      <c r="F69" s="7" t="s">
        <v>69</v>
      </c>
      <c r="G69" s="13" t="s">
        <v>62</v>
      </c>
      <c r="H69" s="15">
        <v>1462</v>
      </c>
      <c r="I69" s="6">
        <v>5</v>
      </c>
      <c r="J69" s="15" t="s">
        <v>60</v>
      </c>
      <c r="K69" s="15" t="s">
        <v>75</v>
      </c>
      <c r="L69" s="9">
        <v>1455000</v>
      </c>
      <c r="M69" s="5">
        <f t="shared" si="16"/>
        <v>1382250</v>
      </c>
      <c r="N69" s="5">
        <f t="shared" si="17"/>
        <v>1236750</v>
      </c>
      <c r="O69" s="5">
        <f t="shared" si="18"/>
        <v>1164000</v>
      </c>
      <c r="P69" s="5">
        <f t="shared" si="19"/>
        <v>1018500</v>
      </c>
      <c r="Q69" s="5">
        <f t="shared" si="20"/>
        <v>873000</v>
      </c>
      <c r="R69" s="5">
        <f t="shared" si="21"/>
        <v>727500</v>
      </c>
      <c r="S69" s="5">
        <f t="shared" si="22"/>
        <v>654750</v>
      </c>
      <c r="T69" s="5">
        <f t="shared" si="23"/>
        <v>582000</v>
      </c>
      <c r="U69" s="5">
        <f t="shared" si="24"/>
        <v>509250</v>
      </c>
      <c r="V69" s="5">
        <f t="shared" si="25"/>
        <v>436500</v>
      </c>
      <c r="W69" s="5">
        <f t="shared" si="26"/>
        <v>363750</v>
      </c>
      <c r="X69" s="5">
        <f t="shared" si="27"/>
        <v>254625</v>
      </c>
      <c r="Y69" s="5">
        <f t="shared" si="28"/>
        <v>216431</v>
      </c>
      <c r="Z69" s="5">
        <f t="shared" si="29"/>
        <v>140680</v>
      </c>
      <c r="AA69" s="5">
        <f t="shared" si="30"/>
        <v>119578</v>
      </c>
      <c r="AB69" s="5">
        <f t="shared" si="31"/>
        <v>83705</v>
      </c>
    </row>
    <row r="70" spans="1:28">
      <c r="A70" s="3" t="s">
        <v>28</v>
      </c>
      <c r="B70" s="12" t="s">
        <v>78</v>
      </c>
      <c r="C70" s="12" t="s">
        <v>79</v>
      </c>
      <c r="D70" s="7" t="s">
        <v>66</v>
      </c>
      <c r="E70" s="7" t="s">
        <v>67</v>
      </c>
      <c r="F70" s="7" t="s">
        <v>70</v>
      </c>
      <c r="G70" s="13" t="s">
        <v>63</v>
      </c>
      <c r="H70" s="16">
        <v>1493</v>
      </c>
      <c r="I70" s="6">
        <v>5</v>
      </c>
      <c r="J70" s="15" t="s">
        <v>57</v>
      </c>
      <c r="K70" s="17" t="s">
        <v>74</v>
      </c>
      <c r="L70" s="10">
        <v>1357000</v>
      </c>
      <c r="M70" s="5">
        <f t="shared" si="16"/>
        <v>1289150</v>
      </c>
      <c r="N70" s="5">
        <f t="shared" si="17"/>
        <v>1153450</v>
      </c>
      <c r="O70" s="5">
        <f t="shared" si="18"/>
        <v>1085600</v>
      </c>
      <c r="P70" s="5">
        <f t="shared" si="19"/>
        <v>949900</v>
      </c>
      <c r="Q70" s="5">
        <f t="shared" si="20"/>
        <v>814200</v>
      </c>
      <c r="R70" s="5">
        <f t="shared" si="21"/>
        <v>678500</v>
      </c>
      <c r="S70" s="5">
        <f t="shared" si="22"/>
        <v>610650</v>
      </c>
      <c r="T70" s="5">
        <f t="shared" si="23"/>
        <v>542800</v>
      </c>
      <c r="U70" s="5">
        <f t="shared" si="24"/>
        <v>474950</v>
      </c>
      <c r="V70" s="5">
        <f t="shared" si="25"/>
        <v>407100</v>
      </c>
      <c r="W70" s="5">
        <f t="shared" si="26"/>
        <v>339250</v>
      </c>
      <c r="X70" s="5">
        <f t="shared" si="27"/>
        <v>237475</v>
      </c>
      <c r="Y70" s="5">
        <f t="shared" si="28"/>
        <v>201854</v>
      </c>
      <c r="Z70" s="5">
        <f t="shared" si="29"/>
        <v>131205</v>
      </c>
      <c r="AA70" s="5">
        <f t="shared" si="30"/>
        <v>111524</v>
      </c>
      <c r="AB70" s="5">
        <f t="shared" si="31"/>
        <v>78067</v>
      </c>
    </row>
    <row r="71" spans="1:28">
      <c r="A71" s="3" t="s">
        <v>29</v>
      </c>
      <c r="B71" s="12" t="s">
        <v>76</v>
      </c>
      <c r="C71" s="12" t="s">
        <v>79</v>
      </c>
      <c r="D71" s="7" t="s">
        <v>58</v>
      </c>
      <c r="E71" s="7" t="s">
        <v>64</v>
      </c>
      <c r="F71" s="7" t="s">
        <v>68</v>
      </c>
      <c r="G71" s="13" t="s">
        <v>61</v>
      </c>
      <c r="H71" s="14">
        <v>1500</v>
      </c>
      <c r="I71" s="6">
        <v>5</v>
      </c>
      <c r="J71" s="14" t="s">
        <v>57</v>
      </c>
      <c r="K71" s="14" t="s">
        <v>74</v>
      </c>
      <c r="L71" s="8">
        <v>1390000</v>
      </c>
      <c r="M71" s="5">
        <f t="shared" si="16"/>
        <v>1320500</v>
      </c>
      <c r="N71" s="5">
        <f t="shared" si="17"/>
        <v>1181500</v>
      </c>
      <c r="O71" s="5">
        <f t="shared" si="18"/>
        <v>1112000</v>
      </c>
      <c r="P71" s="5">
        <f t="shared" si="19"/>
        <v>973000</v>
      </c>
      <c r="Q71" s="5">
        <f t="shared" si="20"/>
        <v>834000</v>
      </c>
      <c r="R71" s="5">
        <f t="shared" si="21"/>
        <v>695000</v>
      </c>
      <c r="S71" s="5">
        <f t="shared" si="22"/>
        <v>625500</v>
      </c>
      <c r="T71" s="5">
        <f t="shared" si="23"/>
        <v>556000</v>
      </c>
      <c r="U71" s="5">
        <f t="shared" si="24"/>
        <v>486500</v>
      </c>
      <c r="V71" s="5">
        <f t="shared" si="25"/>
        <v>417000</v>
      </c>
      <c r="W71" s="5">
        <f t="shared" si="26"/>
        <v>347500</v>
      </c>
      <c r="X71" s="5">
        <f t="shared" si="27"/>
        <v>243250</v>
      </c>
      <c r="Y71" s="5">
        <f t="shared" si="28"/>
        <v>206763</v>
      </c>
      <c r="Z71" s="5">
        <f t="shared" si="29"/>
        <v>134396</v>
      </c>
      <c r="AA71" s="5">
        <f t="shared" si="30"/>
        <v>114237</v>
      </c>
      <c r="AB71" s="5">
        <f t="shared" si="31"/>
        <v>79966</v>
      </c>
    </row>
    <row r="72" spans="1:28">
      <c r="A72" s="3" t="s">
        <v>29</v>
      </c>
      <c r="B72" s="12" t="s">
        <v>77</v>
      </c>
      <c r="C72" s="12" t="s">
        <v>79</v>
      </c>
      <c r="D72" s="7" t="s">
        <v>59</v>
      </c>
      <c r="E72" s="7" t="s">
        <v>65</v>
      </c>
      <c r="F72" s="7" t="s">
        <v>69</v>
      </c>
      <c r="G72" s="13" t="s">
        <v>62</v>
      </c>
      <c r="H72" s="15">
        <v>1462</v>
      </c>
      <c r="I72" s="6">
        <v>5</v>
      </c>
      <c r="J72" s="15" t="s">
        <v>60</v>
      </c>
      <c r="K72" s="15" t="s">
        <v>75</v>
      </c>
      <c r="L72" s="9">
        <v>1455000</v>
      </c>
      <c r="M72" s="5">
        <f t="shared" si="16"/>
        <v>1382250</v>
      </c>
      <c r="N72" s="5">
        <f t="shared" si="17"/>
        <v>1236750</v>
      </c>
      <c r="O72" s="5">
        <f t="shared" si="18"/>
        <v>1164000</v>
      </c>
      <c r="P72" s="5">
        <f t="shared" si="19"/>
        <v>1018500</v>
      </c>
      <c r="Q72" s="5">
        <f t="shared" si="20"/>
        <v>873000</v>
      </c>
      <c r="R72" s="5">
        <f t="shared" si="21"/>
        <v>727500</v>
      </c>
      <c r="S72" s="5">
        <f t="shared" si="22"/>
        <v>654750</v>
      </c>
      <c r="T72" s="5">
        <f t="shared" si="23"/>
        <v>582000</v>
      </c>
      <c r="U72" s="5">
        <f t="shared" si="24"/>
        <v>509250</v>
      </c>
      <c r="V72" s="5">
        <f t="shared" si="25"/>
        <v>436500</v>
      </c>
      <c r="W72" s="5">
        <f t="shared" si="26"/>
        <v>363750</v>
      </c>
      <c r="X72" s="5">
        <f t="shared" si="27"/>
        <v>254625</v>
      </c>
      <c r="Y72" s="5">
        <f t="shared" si="28"/>
        <v>216431</v>
      </c>
      <c r="Z72" s="5">
        <f t="shared" si="29"/>
        <v>140680</v>
      </c>
      <c r="AA72" s="5">
        <f t="shared" si="30"/>
        <v>119578</v>
      </c>
      <c r="AB72" s="5">
        <f t="shared" si="31"/>
        <v>83705</v>
      </c>
    </row>
    <row r="73" spans="1:28">
      <c r="A73" s="3" t="s">
        <v>29</v>
      </c>
      <c r="B73" s="12" t="s">
        <v>78</v>
      </c>
      <c r="C73" s="12" t="s">
        <v>79</v>
      </c>
      <c r="D73" s="7" t="s">
        <v>66</v>
      </c>
      <c r="E73" s="7" t="s">
        <v>67</v>
      </c>
      <c r="F73" s="7" t="s">
        <v>70</v>
      </c>
      <c r="G73" s="13" t="s">
        <v>63</v>
      </c>
      <c r="H73" s="16">
        <v>1493</v>
      </c>
      <c r="I73" s="6">
        <v>5</v>
      </c>
      <c r="J73" s="15" t="s">
        <v>57</v>
      </c>
      <c r="K73" s="17" t="s">
        <v>74</v>
      </c>
      <c r="L73" s="10">
        <v>1357000</v>
      </c>
      <c r="M73" s="5">
        <f t="shared" si="16"/>
        <v>1289150</v>
      </c>
      <c r="N73" s="5">
        <f t="shared" si="17"/>
        <v>1153450</v>
      </c>
      <c r="O73" s="5">
        <f t="shared" si="18"/>
        <v>1085600</v>
      </c>
      <c r="P73" s="5">
        <f t="shared" si="19"/>
        <v>949900</v>
      </c>
      <c r="Q73" s="5">
        <f t="shared" si="20"/>
        <v>814200</v>
      </c>
      <c r="R73" s="5">
        <f t="shared" si="21"/>
        <v>678500</v>
      </c>
      <c r="S73" s="5">
        <f t="shared" si="22"/>
        <v>610650</v>
      </c>
      <c r="T73" s="5">
        <f t="shared" si="23"/>
        <v>542800</v>
      </c>
      <c r="U73" s="5">
        <f t="shared" si="24"/>
        <v>474950</v>
      </c>
      <c r="V73" s="5">
        <f t="shared" si="25"/>
        <v>407100</v>
      </c>
      <c r="W73" s="5">
        <f t="shared" si="26"/>
        <v>339250</v>
      </c>
      <c r="X73" s="5">
        <f t="shared" si="27"/>
        <v>237475</v>
      </c>
      <c r="Y73" s="5">
        <f t="shared" si="28"/>
        <v>201854</v>
      </c>
      <c r="Z73" s="5">
        <f t="shared" si="29"/>
        <v>131205</v>
      </c>
      <c r="AA73" s="5">
        <f t="shared" si="30"/>
        <v>111524</v>
      </c>
      <c r="AB73" s="5">
        <f t="shared" si="31"/>
        <v>78067</v>
      </c>
    </row>
    <row r="74" spans="1:28">
      <c r="A74" s="3" t="s">
        <v>30</v>
      </c>
      <c r="B74" s="12" t="s">
        <v>76</v>
      </c>
      <c r="C74" s="12" t="s">
        <v>79</v>
      </c>
      <c r="D74" s="7" t="s">
        <v>58</v>
      </c>
      <c r="E74" s="7" t="s">
        <v>64</v>
      </c>
      <c r="F74" s="7" t="s">
        <v>68</v>
      </c>
      <c r="G74" s="13" t="s">
        <v>61</v>
      </c>
      <c r="H74" s="14">
        <v>1500</v>
      </c>
      <c r="I74" s="6">
        <v>5</v>
      </c>
      <c r="J74" s="14" t="s">
        <v>57</v>
      </c>
      <c r="K74" s="14" t="s">
        <v>74</v>
      </c>
      <c r="L74" s="8">
        <v>1390000</v>
      </c>
      <c r="M74" s="5">
        <f t="shared" si="16"/>
        <v>1320500</v>
      </c>
      <c r="N74" s="5">
        <f t="shared" si="17"/>
        <v>1181500</v>
      </c>
      <c r="O74" s="5">
        <f t="shared" si="18"/>
        <v>1112000</v>
      </c>
      <c r="P74" s="5">
        <f t="shared" si="19"/>
        <v>973000</v>
      </c>
      <c r="Q74" s="5">
        <f t="shared" si="20"/>
        <v>834000</v>
      </c>
      <c r="R74" s="5">
        <f t="shared" si="21"/>
        <v>695000</v>
      </c>
      <c r="S74" s="5">
        <f t="shared" si="22"/>
        <v>625500</v>
      </c>
      <c r="T74" s="5">
        <f t="shared" si="23"/>
        <v>556000</v>
      </c>
      <c r="U74" s="5">
        <f t="shared" si="24"/>
        <v>486500</v>
      </c>
      <c r="V74" s="5">
        <f t="shared" si="25"/>
        <v>417000</v>
      </c>
      <c r="W74" s="5">
        <f t="shared" si="26"/>
        <v>347500</v>
      </c>
      <c r="X74" s="5">
        <f t="shared" si="27"/>
        <v>243250</v>
      </c>
      <c r="Y74" s="5">
        <f t="shared" si="28"/>
        <v>206763</v>
      </c>
      <c r="Z74" s="5">
        <f t="shared" si="29"/>
        <v>134396</v>
      </c>
      <c r="AA74" s="5">
        <f t="shared" si="30"/>
        <v>114237</v>
      </c>
      <c r="AB74" s="5">
        <f t="shared" si="31"/>
        <v>79966</v>
      </c>
    </row>
    <row r="75" spans="1:28">
      <c r="A75" s="3" t="s">
        <v>30</v>
      </c>
      <c r="B75" s="12" t="s">
        <v>77</v>
      </c>
      <c r="C75" s="12" t="s">
        <v>79</v>
      </c>
      <c r="D75" s="7" t="s">
        <v>59</v>
      </c>
      <c r="E75" s="7" t="s">
        <v>65</v>
      </c>
      <c r="F75" s="7" t="s">
        <v>69</v>
      </c>
      <c r="G75" s="13" t="s">
        <v>62</v>
      </c>
      <c r="H75" s="15">
        <v>1462</v>
      </c>
      <c r="I75" s="6">
        <v>5</v>
      </c>
      <c r="J75" s="15" t="s">
        <v>60</v>
      </c>
      <c r="K75" s="15" t="s">
        <v>75</v>
      </c>
      <c r="L75" s="9">
        <v>1455000</v>
      </c>
      <c r="M75" s="5">
        <f t="shared" si="16"/>
        <v>1382250</v>
      </c>
      <c r="N75" s="5">
        <f t="shared" si="17"/>
        <v>1236750</v>
      </c>
      <c r="O75" s="5">
        <f t="shared" si="18"/>
        <v>1164000</v>
      </c>
      <c r="P75" s="5">
        <f t="shared" si="19"/>
        <v>1018500</v>
      </c>
      <c r="Q75" s="5">
        <f t="shared" si="20"/>
        <v>873000</v>
      </c>
      <c r="R75" s="5">
        <f t="shared" si="21"/>
        <v>727500</v>
      </c>
      <c r="S75" s="5">
        <f t="shared" si="22"/>
        <v>654750</v>
      </c>
      <c r="T75" s="5">
        <f t="shared" si="23"/>
        <v>582000</v>
      </c>
      <c r="U75" s="5">
        <f t="shared" si="24"/>
        <v>509250</v>
      </c>
      <c r="V75" s="5">
        <f t="shared" si="25"/>
        <v>436500</v>
      </c>
      <c r="W75" s="5">
        <f t="shared" si="26"/>
        <v>363750</v>
      </c>
      <c r="X75" s="5">
        <f t="shared" si="27"/>
        <v>254625</v>
      </c>
      <c r="Y75" s="5">
        <f t="shared" si="28"/>
        <v>216431</v>
      </c>
      <c r="Z75" s="5">
        <f t="shared" si="29"/>
        <v>140680</v>
      </c>
      <c r="AA75" s="5">
        <f t="shared" si="30"/>
        <v>119578</v>
      </c>
      <c r="AB75" s="5">
        <f t="shared" si="31"/>
        <v>83705</v>
      </c>
    </row>
    <row r="76" spans="1:28">
      <c r="A76" s="3" t="s">
        <v>30</v>
      </c>
      <c r="B76" s="12" t="s">
        <v>78</v>
      </c>
      <c r="C76" s="12" t="s">
        <v>79</v>
      </c>
      <c r="D76" s="7" t="s">
        <v>66</v>
      </c>
      <c r="E76" s="7" t="s">
        <v>67</v>
      </c>
      <c r="F76" s="7" t="s">
        <v>70</v>
      </c>
      <c r="G76" s="13" t="s">
        <v>63</v>
      </c>
      <c r="H76" s="16">
        <v>1493</v>
      </c>
      <c r="I76" s="6">
        <v>5</v>
      </c>
      <c r="J76" s="15" t="s">
        <v>57</v>
      </c>
      <c r="K76" s="17" t="s">
        <v>74</v>
      </c>
      <c r="L76" s="10">
        <v>1357000</v>
      </c>
      <c r="M76" s="5">
        <f t="shared" si="16"/>
        <v>1289150</v>
      </c>
      <c r="N76" s="5">
        <f t="shared" si="17"/>
        <v>1153450</v>
      </c>
      <c r="O76" s="5">
        <f t="shared" si="18"/>
        <v>1085600</v>
      </c>
      <c r="P76" s="5">
        <f t="shared" si="19"/>
        <v>949900</v>
      </c>
      <c r="Q76" s="5">
        <f t="shared" si="20"/>
        <v>814200</v>
      </c>
      <c r="R76" s="5">
        <f t="shared" si="21"/>
        <v>678500</v>
      </c>
      <c r="S76" s="5">
        <f t="shared" si="22"/>
        <v>610650</v>
      </c>
      <c r="T76" s="5">
        <f t="shared" si="23"/>
        <v>542800</v>
      </c>
      <c r="U76" s="5">
        <f t="shared" si="24"/>
        <v>474950</v>
      </c>
      <c r="V76" s="5">
        <f t="shared" si="25"/>
        <v>407100</v>
      </c>
      <c r="W76" s="5">
        <f t="shared" si="26"/>
        <v>339250</v>
      </c>
      <c r="X76" s="5">
        <f t="shared" si="27"/>
        <v>237475</v>
      </c>
      <c r="Y76" s="5">
        <f t="shared" si="28"/>
        <v>201854</v>
      </c>
      <c r="Z76" s="5">
        <f t="shared" si="29"/>
        <v>131205</v>
      </c>
      <c r="AA76" s="5">
        <f t="shared" si="30"/>
        <v>111524</v>
      </c>
      <c r="AB76" s="5">
        <f t="shared" si="31"/>
        <v>78067</v>
      </c>
    </row>
    <row r="77" spans="1:28">
      <c r="A77" s="3" t="s">
        <v>31</v>
      </c>
      <c r="B77" s="12" t="s">
        <v>76</v>
      </c>
      <c r="C77" s="12" t="s">
        <v>79</v>
      </c>
      <c r="D77" s="7" t="s">
        <v>58</v>
      </c>
      <c r="E77" s="7" t="s">
        <v>64</v>
      </c>
      <c r="F77" s="7" t="s">
        <v>68</v>
      </c>
      <c r="G77" s="13" t="s">
        <v>61</v>
      </c>
      <c r="H77" s="14">
        <v>1500</v>
      </c>
      <c r="I77" s="6">
        <v>5</v>
      </c>
      <c r="J77" s="14" t="s">
        <v>57</v>
      </c>
      <c r="K77" s="14" t="s">
        <v>74</v>
      </c>
      <c r="L77" s="8">
        <v>1390000</v>
      </c>
      <c r="M77" s="5">
        <f t="shared" si="16"/>
        <v>1320500</v>
      </c>
      <c r="N77" s="5">
        <f t="shared" si="17"/>
        <v>1181500</v>
      </c>
      <c r="O77" s="5">
        <f t="shared" si="18"/>
        <v>1112000</v>
      </c>
      <c r="P77" s="5">
        <f t="shared" si="19"/>
        <v>973000</v>
      </c>
      <c r="Q77" s="5">
        <f t="shared" si="20"/>
        <v>834000</v>
      </c>
      <c r="R77" s="5">
        <f t="shared" si="21"/>
        <v>695000</v>
      </c>
      <c r="S77" s="5">
        <f t="shared" si="22"/>
        <v>625500</v>
      </c>
      <c r="T77" s="5">
        <f t="shared" si="23"/>
        <v>556000</v>
      </c>
      <c r="U77" s="5">
        <f t="shared" si="24"/>
        <v>486500</v>
      </c>
      <c r="V77" s="5">
        <f t="shared" si="25"/>
        <v>417000</v>
      </c>
      <c r="W77" s="5">
        <f t="shared" si="26"/>
        <v>347500</v>
      </c>
      <c r="X77" s="5">
        <f t="shared" si="27"/>
        <v>243250</v>
      </c>
      <c r="Y77" s="5">
        <f t="shared" si="28"/>
        <v>206763</v>
      </c>
      <c r="Z77" s="5">
        <f t="shared" si="29"/>
        <v>134396</v>
      </c>
      <c r="AA77" s="5">
        <f t="shared" si="30"/>
        <v>114237</v>
      </c>
      <c r="AB77" s="5">
        <f t="shared" si="31"/>
        <v>79966</v>
      </c>
    </row>
    <row r="78" spans="1:28">
      <c r="A78" s="3" t="s">
        <v>31</v>
      </c>
      <c r="B78" s="12" t="s">
        <v>77</v>
      </c>
      <c r="C78" s="12" t="s">
        <v>79</v>
      </c>
      <c r="D78" s="7" t="s">
        <v>59</v>
      </c>
      <c r="E78" s="7" t="s">
        <v>65</v>
      </c>
      <c r="F78" s="7" t="s">
        <v>69</v>
      </c>
      <c r="G78" s="13" t="s">
        <v>62</v>
      </c>
      <c r="H78" s="15">
        <v>1462</v>
      </c>
      <c r="I78" s="6">
        <v>5</v>
      </c>
      <c r="J78" s="15" t="s">
        <v>60</v>
      </c>
      <c r="K78" s="15" t="s">
        <v>75</v>
      </c>
      <c r="L78" s="9">
        <v>1455000</v>
      </c>
      <c r="M78" s="5">
        <f t="shared" si="16"/>
        <v>1382250</v>
      </c>
      <c r="N78" s="5">
        <f t="shared" si="17"/>
        <v>1236750</v>
      </c>
      <c r="O78" s="5">
        <f t="shared" si="18"/>
        <v>1164000</v>
      </c>
      <c r="P78" s="5">
        <f t="shared" si="19"/>
        <v>1018500</v>
      </c>
      <c r="Q78" s="5">
        <f t="shared" si="20"/>
        <v>873000</v>
      </c>
      <c r="R78" s="5">
        <f t="shared" si="21"/>
        <v>727500</v>
      </c>
      <c r="S78" s="5">
        <f t="shared" si="22"/>
        <v>654750</v>
      </c>
      <c r="T78" s="5">
        <f t="shared" si="23"/>
        <v>582000</v>
      </c>
      <c r="U78" s="5">
        <f t="shared" si="24"/>
        <v>509250</v>
      </c>
      <c r="V78" s="5">
        <f t="shared" si="25"/>
        <v>436500</v>
      </c>
      <c r="W78" s="5">
        <f t="shared" si="26"/>
        <v>363750</v>
      </c>
      <c r="X78" s="5">
        <f t="shared" si="27"/>
        <v>254625</v>
      </c>
      <c r="Y78" s="5">
        <f t="shared" si="28"/>
        <v>216431</v>
      </c>
      <c r="Z78" s="5">
        <f t="shared" si="29"/>
        <v>140680</v>
      </c>
      <c r="AA78" s="5">
        <f t="shared" si="30"/>
        <v>119578</v>
      </c>
      <c r="AB78" s="5">
        <f t="shared" si="31"/>
        <v>83705</v>
      </c>
    </row>
    <row r="79" spans="1:28">
      <c r="A79" s="3" t="s">
        <v>31</v>
      </c>
      <c r="B79" s="12" t="s">
        <v>78</v>
      </c>
      <c r="C79" s="12" t="s">
        <v>79</v>
      </c>
      <c r="D79" s="7" t="s">
        <v>66</v>
      </c>
      <c r="E79" s="7" t="s">
        <v>67</v>
      </c>
      <c r="F79" s="7" t="s">
        <v>70</v>
      </c>
      <c r="G79" s="13" t="s">
        <v>63</v>
      </c>
      <c r="H79" s="16">
        <v>1493</v>
      </c>
      <c r="I79" s="6">
        <v>5</v>
      </c>
      <c r="J79" s="15" t="s">
        <v>57</v>
      </c>
      <c r="K79" s="17" t="s">
        <v>74</v>
      </c>
      <c r="L79" s="10">
        <v>1357000</v>
      </c>
      <c r="M79" s="5">
        <f t="shared" si="16"/>
        <v>1289150</v>
      </c>
      <c r="N79" s="5">
        <f t="shared" si="17"/>
        <v>1153450</v>
      </c>
      <c r="O79" s="5">
        <f t="shared" si="18"/>
        <v>1085600</v>
      </c>
      <c r="P79" s="5">
        <f t="shared" si="19"/>
        <v>949900</v>
      </c>
      <c r="Q79" s="5">
        <f t="shared" si="20"/>
        <v>814200</v>
      </c>
      <c r="R79" s="5">
        <f t="shared" si="21"/>
        <v>678500</v>
      </c>
      <c r="S79" s="5">
        <f t="shared" si="22"/>
        <v>610650</v>
      </c>
      <c r="T79" s="5">
        <f t="shared" si="23"/>
        <v>542800</v>
      </c>
      <c r="U79" s="5">
        <f t="shared" si="24"/>
        <v>474950</v>
      </c>
      <c r="V79" s="5">
        <f t="shared" si="25"/>
        <v>407100</v>
      </c>
      <c r="W79" s="5">
        <f t="shared" si="26"/>
        <v>339250</v>
      </c>
      <c r="X79" s="5">
        <f t="shared" si="27"/>
        <v>237475</v>
      </c>
      <c r="Y79" s="5">
        <f t="shared" si="28"/>
        <v>201854</v>
      </c>
      <c r="Z79" s="5">
        <f t="shared" si="29"/>
        <v>131205</v>
      </c>
      <c r="AA79" s="5">
        <f t="shared" si="30"/>
        <v>111524</v>
      </c>
      <c r="AB79" s="5">
        <f t="shared" si="31"/>
        <v>78067</v>
      </c>
    </row>
    <row r="80" spans="1:28">
      <c r="A80" s="3" t="s">
        <v>32</v>
      </c>
      <c r="B80" s="12" t="s">
        <v>76</v>
      </c>
      <c r="C80" s="12" t="s">
        <v>79</v>
      </c>
      <c r="D80" s="7" t="s">
        <v>58</v>
      </c>
      <c r="E80" s="7" t="s">
        <v>64</v>
      </c>
      <c r="F80" s="7" t="s">
        <v>68</v>
      </c>
      <c r="G80" s="13" t="s">
        <v>61</v>
      </c>
      <c r="H80" s="14">
        <v>1500</v>
      </c>
      <c r="I80" s="6">
        <v>5</v>
      </c>
      <c r="J80" s="14" t="s">
        <v>57</v>
      </c>
      <c r="K80" s="14" t="s">
        <v>74</v>
      </c>
      <c r="L80" s="8">
        <v>1390000</v>
      </c>
      <c r="M80" s="5">
        <f t="shared" si="16"/>
        <v>1320500</v>
      </c>
      <c r="N80" s="5">
        <f t="shared" si="17"/>
        <v>1181500</v>
      </c>
      <c r="O80" s="5">
        <f t="shared" si="18"/>
        <v>1112000</v>
      </c>
      <c r="P80" s="5">
        <f t="shared" si="19"/>
        <v>973000</v>
      </c>
      <c r="Q80" s="5">
        <f t="shared" si="20"/>
        <v>834000</v>
      </c>
      <c r="R80" s="5">
        <f t="shared" si="21"/>
        <v>695000</v>
      </c>
      <c r="S80" s="5">
        <f t="shared" si="22"/>
        <v>625500</v>
      </c>
      <c r="T80" s="5">
        <f t="shared" si="23"/>
        <v>556000</v>
      </c>
      <c r="U80" s="5">
        <f t="shared" si="24"/>
        <v>486500</v>
      </c>
      <c r="V80" s="5">
        <f t="shared" si="25"/>
        <v>417000</v>
      </c>
      <c r="W80" s="5">
        <f t="shared" si="26"/>
        <v>347500</v>
      </c>
      <c r="X80" s="5">
        <f t="shared" si="27"/>
        <v>243250</v>
      </c>
      <c r="Y80" s="5">
        <f t="shared" si="28"/>
        <v>206763</v>
      </c>
      <c r="Z80" s="5">
        <f t="shared" si="29"/>
        <v>134396</v>
      </c>
      <c r="AA80" s="5">
        <f t="shared" si="30"/>
        <v>114237</v>
      </c>
      <c r="AB80" s="5">
        <f t="shared" si="31"/>
        <v>79966</v>
      </c>
    </row>
    <row r="81" spans="1:28">
      <c r="A81" s="3" t="s">
        <v>32</v>
      </c>
      <c r="B81" s="12" t="s">
        <v>77</v>
      </c>
      <c r="C81" s="12" t="s">
        <v>79</v>
      </c>
      <c r="D81" s="7" t="s">
        <v>59</v>
      </c>
      <c r="E81" s="7" t="s">
        <v>65</v>
      </c>
      <c r="F81" s="7" t="s">
        <v>69</v>
      </c>
      <c r="G81" s="13" t="s">
        <v>62</v>
      </c>
      <c r="H81" s="15">
        <v>1462</v>
      </c>
      <c r="I81" s="6">
        <v>5</v>
      </c>
      <c r="J81" s="15" t="s">
        <v>60</v>
      </c>
      <c r="K81" s="15" t="s">
        <v>75</v>
      </c>
      <c r="L81" s="9">
        <v>1455000</v>
      </c>
      <c r="M81" s="5">
        <f t="shared" si="16"/>
        <v>1382250</v>
      </c>
      <c r="N81" s="5">
        <f t="shared" si="17"/>
        <v>1236750</v>
      </c>
      <c r="O81" s="5">
        <f t="shared" si="18"/>
        <v>1164000</v>
      </c>
      <c r="P81" s="5">
        <f t="shared" si="19"/>
        <v>1018500</v>
      </c>
      <c r="Q81" s="5">
        <f t="shared" si="20"/>
        <v>873000</v>
      </c>
      <c r="R81" s="5">
        <f t="shared" si="21"/>
        <v>727500</v>
      </c>
      <c r="S81" s="5">
        <f t="shared" si="22"/>
        <v>654750</v>
      </c>
      <c r="T81" s="5">
        <f t="shared" si="23"/>
        <v>582000</v>
      </c>
      <c r="U81" s="5">
        <f t="shared" si="24"/>
        <v>509250</v>
      </c>
      <c r="V81" s="5">
        <f t="shared" si="25"/>
        <v>436500</v>
      </c>
      <c r="W81" s="5">
        <f t="shared" si="26"/>
        <v>363750</v>
      </c>
      <c r="X81" s="5">
        <f t="shared" si="27"/>
        <v>254625</v>
      </c>
      <c r="Y81" s="5">
        <f t="shared" si="28"/>
        <v>216431</v>
      </c>
      <c r="Z81" s="5">
        <f t="shared" si="29"/>
        <v>140680</v>
      </c>
      <c r="AA81" s="5">
        <f t="shared" si="30"/>
        <v>119578</v>
      </c>
      <c r="AB81" s="5">
        <f t="shared" si="31"/>
        <v>83705</v>
      </c>
    </row>
    <row r="82" spans="1:28">
      <c r="A82" s="3" t="s">
        <v>32</v>
      </c>
      <c r="B82" s="12" t="s">
        <v>78</v>
      </c>
      <c r="C82" s="12" t="s">
        <v>79</v>
      </c>
      <c r="D82" s="7" t="s">
        <v>66</v>
      </c>
      <c r="E82" s="7" t="s">
        <v>67</v>
      </c>
      <c r="F82" s="7" t="s">
        <v>70</v>
      </c>
      <c r="G82" s="13" t="s">
        <v>63</v>
      </c>
      <c r="H82" s="16">
        <v>1493</v>
      </c>
      <c r="I82" s="6">
        <v>5</v>
      </c>
      <c r="J82" s="15" t="s">
        <v>57</v>
      </c>
      <c r="K82" s="17" t="s">
        <v>74</v>
      </c>
      <c r="L82" s="10">
        <v>1357000</v>
      </c>
      <c r="M82" s="5">
        <f t="shared" si="16"/>
        <v>1289150</v>
      </c>
      <c r="N82" s="5">
        <f t="shared" si="17"/>
        <v>1153450</v>
      </c>
      <c r="O82" s="5">
        <f t="shared" si="18"/>
        <v>1085600</v>
      </c>
      <c r="P82" s="5">
        <f t="shared" si="19"/>
        <v>949900</v>
      </c>
      <c r="Q82" s="5">
        <f t="shared" si="20"/>
        <v>814200</v>
      </c>
      <c r="R82" s="5">
        <f t="shared" si="21"/>
        <v>678500</v>
      </c>
      <c r="S82" s="5">
        <f t="shared" si="22"/>
        <v>610650</v>
      </c>
      <c r="T82" s="5">
        <f t="shared" si="23"/>
        <v>542800</v>
      </c>
      <c r="U82" s="5">
        <f t="shared" si="24"/>
        <v>474950</v>
      </c>
      <c r="V82" s="5">
        <f t="shared" si="25"/>
        <v>407100</v>
      </c>
      <c r="W82" s="5">
        <f t="shared" si="26"/>
        <v>339250</v>
      </c>
      <c r="X82" s="5">
        <f t="shared" si="27"/>
        <v>237475</v>
      </c>
      <c r="Y82" s="5">
        <f t="shared" si="28"/>
        <v>201854</v>
      </c>
      <c r="Z82" s="5">
        <f t="shared" si="29"/>
        <v>131205</v>
      </c>
      <c r="AA82" s="5">
        <f t="shared" si="30"/>
        <v>111524</v>
      </c>
      <c r="AB82" s="5">
        <f t="shared" si="31"/>
        <v>78067</v>
      </c>
    </row>
    <row r="83" spans="1:28">
      <c r="A83" s="3" t="s">
        <v>33</v>
      </c>
      <c r="B83" s="12" t="s">
        <v>76</v>
      </c>
      <c r="C83" s="12" t="s">
        <v>79</v>
      </c>
      <c r="D83" s="7" t="s">
        <v>58</v>
      </c>
      <c r="E83" s="7" t="s">
        <v>64</v>
      </c>
      <c r="F83" s="7" t="s">
        <v>68</v>
      </c>
      <c r="G83" s="13" t="s">
        <v>61</v>
      </c>
      <c r="H83" s="14">
        <v>1500</v>
      </c>
      <c r="I83" s="6">
        <v>5</v>
      </c>
      <c r="J83" s="14" t="s">
        <v>57</v>
      </c>
      <c r="K83" s="14" t="s">
        <v>74</v>
      </c>
      <c r="L83" s="8">
        <v>1390000</v>
      </c>
      <c r="M83" s="5">
        <f t="shared" si="16"/>
        <v>1320500</v>
      </c>
      <c r="N83" s="5">
        <f t="shared" si="17"/>
        <v>1181500</v>
      </c>
      <c r="O83" s="5">
        <f t="shared" si="18"/>
        <v>1112000</v>
      </c>
      <c r="P83" s="5">
        <f t="shared" si="19"/>
        <v>973000</v>
      </c>
      <c r="Q83" s="5">
        <f t="shared" si="20"/>
        <v>834000</v>
      </c>
      <c r="R83" s="5">
        <f t="shared" si="21"/>
        <v>695000</v>
      </c>
      <c r="S83" s="5">
        <f t="shared" si="22"/>
        <v>625500</v>
      </c>
      <c r="T83" s="5">
        <f t="shared" si="23"/>
        <v>556000</v>
      </c>
      <c r="U83" s="5">
        <f t="shared" si="24"/>
        <v>486500</v>
      </c>
      <c r="V83" s="5">
        <f t="shared" si="25"/>
        <v>417000</v>
      </c>
      <c r="W83" s="5">
        <f t="shared" si="26"/>
        <v>347500</v>
      </c>
      <c r="X83" s="5">
        <f t="shared" si="27"/>
        <v>243250</v>
      </c>
      <c r="Y83" s="5">
        <f t="shared" si="28"/>
        <v>206763</v>
      </c>
      <c r="Z83" s="5">
        <f t="shared" si="29"/>
        <v>134396</v>
      </c>
      <c r="AA83" s="5">
        <f t="shared" si="30"/>
        <v>114237</v>
      </c>
      <c r="AB83" s="5">
        <f t="shared" si="31"/>
        <v>79966</v>
      </c>
    </row>
    <row r="84" spans="1:28">
      <c r="A84" s="3" t="s">
        <v>33</v>
      </c>
      <c r="B84" s="12" t="s">
        <v>77</v>
      </c>
      <c r="C84" s="12" t="s">
        <v>79</v>
      </c>
      <c r="D84" s="7" t="s">
        <v>59</v>
      </c>
      <c r="E84" s="7" t="s">
        <v>65</v>
      </c>
      <c r="F84" s="7" t="s">
        <v>69</v>
      </c>
      <c r="G84" s="13" t="s">
        <v>62</v>
      </c>
      <c r="H84" s="15">
        <v>1462</v>
      </c>
      <c r="I84" s="6">
        <v>5</v>
      </c>
      <c r="J84" s="15" t="s">
        <v>60</v>
      </c>
      <c r="K84" s="15" t="s">
        <v>75</v>
      </c>
      <c r="L84" s="9">
        <v>1455000</v>
      </c>
      <c r="M84" s="5">
        <f t="shared" si="16"/>
        <v>1382250</v>
      </c>
      <c r="N84" s="5">
        <f t="shared" si="17"/>
        <v>1236750</v>
      </c>
      <c r="O84" s="5">
        <f t="shared" si="18"/>
        <v>1164000</v>
      </c>
      <c r="P84" s="5">
        <f t="shared" si="19"/>
        <v>1018500</v>
      </c>
      <c r="Q84" s="5">
        <f t="shared" si="20"/>
        <v>873000</v>
      </c>
      <c r="R84" s="5">
        <f t="shared" si="21"/>
        <v>727500</v>
      </c>
      <c r="S84" s="5">
        <f t="shared" si="22"/>
        <v>654750</v>
      </c>
      <c r="T84" s="5">
        <f t="shared" si="23"/>
        <v>582000</v>
      </c>
      <c r="U84" s="5">
        <f t="shared" si="24"/>
        <v>509250</v>
      </c>
      <c r="V84" s="5">
        <f t="shared" si="25"/>
        <v>436500</v>
      </c>
      <c r="W84" s="5">
        <f t="shared" si="26"/>
        <v>363750</v>
      </c>
      <c r="X84" s="5">
        <f t="shared" si="27"/>
        <v>254625</v>
      </c>
      <c r="Y84" s="5">
        <f t="shared" si="28"/>
        <v>216431</v>
      </c>
      <c r="Z84" s="5">
        <f t="shared" si="29"/>
        <v>140680</v>
      </c>
      <c r="AA84" s="5">
        <f t="shared" si="30"/>
        <v>119578</v>
      </c>
      <c r="AB84" s="5">
        <f t="shared" si="31"/>
        <v>83705</v>
      </c>
    </row>
    <row r="85" spans="1:28">
      <c r="A85" s="3" t="s">
        <v>33</v>
      </c>
      <c r="B85" s="12" t="s">
        <v>78</v>
      </c>
      <c r="C85" s="12" t="s">
        <v>79</v>
      </c>
      <c r="D85" s="7" t="s">
        <v>66</v>
      </c>
      <c r="E85" s="7" t="s">
        <v>67</v>
      </c>
      <c r="F85" s="7" t="s">
        <v>70</v>
      </c>
      <c r="G85" s="13" t="s">
        <v>63</v>
      </c>
      <c r="H85" s="16">
        <v>1493</v>
      </c>
      <c r="I85" s="6">
        <v>5</v>
      </c>
      <c r="J85" s="15" t="s">
        <v>57</v>
      </c>
      <c r="K85" s="17" t="s">
        <v>74</v>
      </c>
      <c r="L85" s="10">
        <v>1357000</v>
      </c>
      <c r="M85" s="5">
        <f t="shared" si="16"/>
        <v>1289150</v>
      </c>
      <c r="N85" s="5">
        <f t="shared" si="17"/>
        <v>1153450</v>
      </c>
      <c r="O85" s="5">
        <f t="shared" si="18"/>
        <v>1085600</v>
      </c>
      <c r="P85" s="5">
        <f t="shared" si="19"/>
        <v>949900</v>
      </c>
      <c r="Q85" s="5">
        <f t="shared" si="20"/>
        <v>814200</v>
      </c>
      <c r="R85" s="5">
        <f t="shared" si="21"/>
        <v>678500</v>
      </c>
      <c r="S85" s="5">
        <f t="shared" si="22"/>
        <v>610650</v>
      </c>
      <c r="T85" s="5">
        <f t="shared" si="23"/>
        <v>542800</v>
      </c>
      <c r="U85" s="5">
        <f t="shared" si="24"/>
        <v>474950</v>
      </c>
      <c r="V85" s="5">
        <f t="shared" si="25"/>
        <v>407100</v>
      </c>
      <c r="W85" s="5">
        <f t="shared" si="26"/>
        <v>339250</v>
      </c>
      <c r="X85" s="5">
        <f t="shared" si="27"/>
        <v>237475</v>
      </c>
      <c r="Y85" s="5">
        <f t="shared" si="28"/>
        <v>201854</v>
      </c>
      <c r="Z85" s="5">
        <f t="shared" si="29"/>
        <v>131205</v>
      </c>
      <c r="AA85" s="5">
        <f t="shared" si="30"/>
        <v>111524</v>
      </c>
      <c r="AB85" s="5">
        <f t="shared" si="31"/>
        <v>78067</v>
      </c>
    </row>
    <row r="86" spans="1:28">
      <c r="A86" s="3" t="s">
        <v>34</v>
      </c>
      <c r="B86" s="12" t="s">
        <v>76</v>
      </c>
      <c r="C86" s="12" t="s">
        <v>79</v>
      </c>
      <c r="D86" s="7" t="s">
        <v>58</v>
      </c>
      <c r="E86" s="7" t="s">
        <v>64</v>
      </c>
      <c r="F86" s="7" t="s">
        <v>68</v>
      </c>
      <c r="G86" s="13" t="s">
        <v>61</v>
      </c>
      <c r="H86" s="14">
        <v>1500</v>
      </c>
      <c r="I86" s="6">
        <v>5</v>
      </c>
      <c r="J86" s="14" t="s">
        <v>57</v>
      </c>
      <c r="K86" s="14" t="s">
        <v>74</v>
      </c>
      <c r="L86" s="8">
        <v>1390000</v>
      </c>
      <c r="M86" s="5">
        <f t="shared" si="16"/>
        <v>1320500</v>
      </c>
      <c r="N86" s="5">
        <f t="shared" si="17"/>
        <v>1181500</v>
      </c>
      <c r="O86" s="5">
        <f t="shared" si="18"/>
        <v>1112000</v>
      </c>
      <c r="P86" s="5">
        <f t="shared" si="19"/>
        <v>973000</v>
      </c>
      <c r="Q86" s="5">
        <f t="shared" si="20"/>
        <v>834000</v>
      </c>
      <c r="R86" s="5">
        <f t="shared" si="21"/>
        <v>695000</v>
      </c>
      <c r="S86" s="5">
        <f t="shared" si="22"/>
        <v>625500</v>
      </c>
      <c r="T86" s="5">
        <f t="shared" si="23"/>
        <v>556000</v>
      </c>
      <c r="U86" s="5">
        <f t="shared" si="24"/>
        <v>486500</v>
      </c>
      <c r="V86" s="5">
        <f t="shared" si="25"/>
        <v>417000</v>
      </c>
      <c r="W86" s="5">
        <f t="shared" si="26"/>
        <v>347500</v>
      </c>
      <c r="X86" s="5">
        <f t="shared" si="27"/>
        <v>243250</v>
      </c>
      <c r="Y86" s="5">
        <f t="shared" si="28"/>
        <v>206763</v>
      </c>
      <c r="Z86" s="5">
        <f t="shared" si="29"/>
        <v>134396</v>
      </c>
      <c r="AA86" s="5">
        <f t="shared" si="30"/>
        <v>114237</v>
      </c>
      <c r="AB86" s="5">
        <f t="shared" si="31"/>
        <v>79966</v>
      </c>
    </row>
    <row r="87" spans="1:28">
      <c r="A87" s="3" t="s">
        <v>34</v>
      </c>
      <c r="B87" s="12" t="s">
        <v>77</v>
      </c>
      <c r="C87" s="12" t="s">
        <v>79</v>
      </c>
      <c r="D87" s="7" t="s">
        <v>59</v>
      </c>
      <c r="E87" s="7" t="s">
        <v>65</v>
      </c>
      <c r="F87" s="7" t="s">
        <v>69</v>
      </c>
      <c r="G87" s="13" t="s">
        <v>62</v>
      </c>
      <c r="H87" s="15">
        <v>1462</v>
      </c>
      <c r="I87" s="6">
        <v>5</v>
      </c>
      <c r="J87" s="15" t="s">
        <v>60</v>
      </c>
      <c r="K87" s="15" t="s">
        <v>75</v>
      </c>
      <c r="L87" s="9">
        <v>1455000</v>
      </c>
      <c r="M87" s="5">
        <f t="shared" si="16"/>
        <v>1382250</v>
      </c>
      <c r="N87" s="5">
        <f t="shared" si="17"/>
        <v>1236750</v>
      </c>
      <c r="O87" s="5">
        <f t="shared" si="18"/>
        <v>1164000</v>
      </c>
      <c r="P87" s="5">
        <f t="shared" si="19"/>
        <v>1018500</v>
      </c>
      <c r="Q87" s="5">
        <f t="shared" si="20"/>
        <v>873000</v>
      </c>
      <c r="R87" s="5">
        <f t="shared" si="21"/>
        <v>727500</v>
      </c>
      <c r="S87" s="5">
        <f t="shared" si="22"/>
        <v>654750</v>
      </c>
      <c r="T87" s="5">
        <f t="shared" si="23"/>
        <v>582000</v>
      </c>
      <c r="U87" s="5">
        <f t="shared" si="24"/>
        <v>509250</v>
      </c>
      <c r="V87" s="5">
        <f t="shared" si="25"/>
        <v>436500</v>
      </c>
      <c r="W87" s="5">
        <f t="shared" si="26"/>
        <v>363750</v>
      </c>
      <c r="X87" s="5">
        <f t="shared" si="27"/>
        <v>254625</v>
      </c>
      <c r="Y87" s="5">
        <f t="shared" si="28"/>
        <v>216431</v>
      </c>
      <c r="Z87" s="5">
        <f t="shared" si="29"/>
        <v>140680</v>
      </c>
      <c r="AA87" s="5">
        <f t="shared" si="30"/>
        <v>119578</v>
      </c>
      <c r="AB87" s="5">
        <f t="shared" si="31"/>
        <v>83705</v>
      </c>
    </row>
    <row r="88" spans="1:28">
      <c r="A88" s="3" t="s">
        <v>34</v>
      </c>
      <c r="B88" s="12" t="s">
        <v>78</v>
      </c>
      <c r="C88" s="12" t="s">
        <v>79</v>
      </c>
      <c r="D88" s="7" t="s">
        <v>66</v>
      </c>
      <c r="E88" s="7" t="s">
        <v>67</v>
      </c>
      <c r="F88" s="7" t="s">
        <v>70</v>
      </c>
      <c r="G88" s="13" t="s">
        <v>63</v>
      </c>
      <c r="H88" s="16">
        <v>1493</v>
      </c>
      <c r="I88" s="6">
        <v>5</v>
      </c>
      <c r="J88" s="15" t="s">
        <v>57</v>
      </c>
      <c r="K88" s="17" t="s">
        <v>74</v>
      </c>
      <c r="L88" s="10">
        <v>1357000</v>
      </c>
      <c r="M88" s="5">
        <f t="shared" si="16"/>
        <v>1289150</v>
      </c>
      <c r="N88" s="5">
        <f t="shared" si="17"/>
        <v>1153450</v>
      </c>
      <c r="O88" s="5">
        <f t="shared" si="18"/>
        <v>1085600</v>
      </c>
      <c r="P88" s="5">
        <f t="shared" si="19"/>
        <v>949900</v>
      </c>
      <c r="Q88" s="5">
        <f t="shared" si="20"/>
        <v>814200</v>
      </c>
      <c r="R88" s="5">
        <f t="shared" si="21"/>
        <v>678500</v>
      </c>
      <c r="S88" s="5">
        <f t="shared" si="22"/>
        <v>610650</v>
      </c>
      <c r="T88" s="5">
        <f t="shared" si="23"/>
        <v>542800</v>
      </c>
      <c r="U88" s="5">
        <f t="shared" si="24"/>
        <v>474950</v>
      </c>
      <c r="V88" s="5">
        <f t="shared" si="25"/>
        <v>407100</v>
      </c>
      <c r="W88" s="5">
        <f t="shared" si="26"/>
        <v>339250</v>
      </c>
      <c r="X88" s="5">
        <f t="shared" si="27"/>
        <v>237475</v>
      </c>
      <c r="Y88" s="5">
        <f t="shared" si="28"/>
        <v>201854</v>
      </c>
      <c r="Z88" s="5">
        <f t="shared" si="29"/>
        <v>131205</v>
      </c>
      <c r="AA88" s="5">
        <f t="shared" si="30"/>
        <v>111524</v>
      </c>
      <c r="AB88" s="5">
        <f t="shared" si="31"/>
        <v>78067</v>
      </c>
    </row>
    <row r="89" spans="1:28">
      <c r="A89" s="3" t="s">
        <v>35</v>
      </c>
      <c r="B89" s="12" t="s">
        <v>76</v>
      </c>
      <c r="C89" s="12" t="s">
        <v>79</v>
      </c>
      <c r="D89" s="7" t="s">
        <v>58</v>
      </c>
      <c r="E89" s="7" t="s">
        <v>64</v>
      </c>
      <c r="F89" s="7" t="s">
        <v>68</v>
      </c>
      <c r="G89" s="13" t="s">
        <v>61</v>
      </c>
      <c r="H89" s="14">
        <v>1500</v>
      </c>
      <c r="I89" s="6">
        <v>5</v>
      </c>
      <c r="J89" s="14" t="s">
        <v>57</v>
      </c>
      <c r="K89" s="14" t="s">
        <v>74</v>
      </c>
      <c r="L89" s="8">
        <v>1390000</v>
      </c>
      <c r="M89" s="5">
        <f t="shared" si="16"/>
        <v>1320500</v>
      </c>
      <c r="N89" s="5">
        <f t="shared" si="17"/>
        <v>1181500</v>
      </c>
      <c r="O89" s="5">
        <f t="shared" si="18"/>
        <v>1112000</v>
      </c>
      <c r="P89" s="5">
        <f t="shared" si="19"/>
        <v>973000</v>
      </c>
      <c r="Q89" s="5">
        <f t="shared" si="20"/>
        <v>834000</v>
      </c>
      <c r="R89" s="5">
        <f t="shared" si="21"/>
        <v>695000</v>
      </c>
      <c r="S89" s="5">
        <f t="shared" si="22"/>
        <v>625500</v>
      </c>
      <c r="T89" s="5">
        <f t="shared" si="23"/>
        <v>556000</v>
      </c>
      <c r="U89" s="5">
        <f t="shared" si="24"/>
        <v>486500</v>
      </c>
      <c r="V89" s="5">
        <f t="shared" si="25"/>
        <v>417000</v>
      </c>
      <c r="W89" s="5">
        <f t="shared" si="26"/>
        <v>347500</v>
      </c>
      <c r="X89" s="5">
        <f t="shared" si="27"/>
        <v>243250</v>
      </c>
      <c r="Y89" s="5">
        <f t="shared" si="28"/>
        <v>206763</v>
      </c>
      <c r="Z89" s="5">
        <f t="shared" si="29"/>
        <v>134396</v>
      </c>
      <c r="AA89" s="5">
        <f t="shared" si="30"/>
        <v>114237</v>
      </c>
      <c r="AB89" s="5">
        <f t="shared" si="31"/>
        <v>79966</v>
      </c>
    </row>
    <row r="90" spans="1:28">
      <c r="A90" s="3" t="s">
        <v>35</v>
      </c>
      <c r="B90" s="12" t="s">
        <v>77</v>
      </c>
      <c r="C90" s="12" t="s">
        <v>79</v>
      </c>
      <c r="D90" s="7" t="s">
        <v>59</v>
      </c>
      <c r="E90" s="7" t="s">
        <v>65</v>
      </c>
      <c r="F90" s="7" t="s">
        <v>69</v>
      </c>
      <c r="G90" s="13" t="s">
        <v>62</v>
      </c>
      <c r="H90" s="15">
        <v>1462</v>
      </c>
      <c r="I90" s="6">
        <v>5</v>
      </c>
      <c r="J90" s="15" t="s">
        <v>60</v>
      </c>
      <c r="K90" s="15" t="s">
        <v>75</v>
      </c>
      <c r="L90" s="9">
        <v>1455000</v>
      </c>
      <c r="M90" s="5">
        <f t="shared" si="16"/>
        <v>1382250</v>
      </c>
      <c r="N90" s="5">
        <f t="shared" si="17"/>
        <v>1236750</v>
      </c>
      <c r="O90" s="5">
        <f t="shared" si="18"/>
        <v>1164000</v>
      </c>
      <c r="P90" s="5">
        <f t="shared" si="19"/>
        <v>1018500</v>
      </c>
      <c r="Q90" s="5">
        <f t="shared" si="20"/>
        <v>873000</v>
      </c>
      <c r="R90" s="5">
        <f t="shared" si="21"/>
        <v>727500</v>
      </c>
      <c r="S90" s="5">
        <f t="shared" si="22"/>
        <v>654750</v>
      </c>
      <c r="T90" s="5">
        <f t="shared" si="23"/>
        <v>582000</v>
      </c>
      <c r="U90" s="5">
        <f t="shared" si="24"/>
        <v>509250</v>
      </c>
      <c r="V90" s="5">
        <f t="shared" si="25"/>
        <v>436500</v>
      </c>
      <c r="W90" s="5">
        <f t="shared" si="26"/>
        <v>363750</v>
      </c>
      <c r="X90" s="5">
        <f t="shared" si="27"/>
        <v>254625</v>
      </c>
      <c r="Y90" s="5">
        <f t="shared" si="28"/>
        <v>216431</v>
      </c>
      <c r="Z90" s="5">
        <f t="shared" si="29"/>
        <v>140680</v>
      </c>
      <c r="AA90" s="5">
        <f t="shared" si="30"/>
        <v>119578</v>
      </c>
      <c r="AB90" s="5">
        <f t="shared" si="31"/>
        <v>83705</v>
      </c>
    </row>
    <row r="91" spans="1:28">
      <c r="A91" s="3" t="s">
        <v>35</v>
      </c>
      <c r="B91" s="12" t="s">
        <v>78</v>
      </c>
      <c r="C91" s="12" t="s">
        <v>79</v>
      </c>
      <c r="D91" s="7" t="s">
        <v>66</v>
      </c>
      <c r="E91" s="7" t="s">
        <v>67</v>
      </c>
      <c r="F91" s="7" t="s">
        <v>70</v>
      </c>
      <c r="G91" s="13" t="s">
        <v>63</v>
      </c>
      <c r="H91" s="16">
        <v>1493</v>
      </c>
      <c r="I91" s="6">
        <v>5</v>
      </c>
      <c r="J91" s="15" t="s">
        <v>57</v>
      </c>
      <c r="K91" s="17" t="s">
        <v>74</v>
      </c>
      <c r="L91" s="10">
        <v>1357000</v>
      </c>
      <c r="M91" s="5">
        <f t="shared" si="16"/>
        <v>1289150</v>
      </c>
      <c r="N91" s="5">
        <f t="shared" si="17"/>
        <v>1153450</v>
      </c>
      <c r="O91" s="5">
        <f t="shared" si="18"/>
        <v>1085600</v>
      </c>
      <c r="P91" s="5">
        <f t="shared" si="19"/>
        <v>949900</v>
      </c>
      <c r="Q91" s="5">
        <f t="shared" si="20"/>
        <v>814200</v>
      </c>
      <c r="R91" s="5">
        <f t="shared" si="21"/>
        <v>678500</v>
      </c>
      <c r="S91" s="5">
        <f t="shared" si="22"/>
        <v>610650</v>
      </c>
      <c r="T91" s="5">
        <f t="shared" si="23"/>
        <v>542800</v>
      </c>
      <c r="U91" s="5">
        <f t="shared" si="24"/>
        <v>474950</v>
      </c>
      <c r="V91" s="5">
        <f t="shared" si="25"/>
        <v>407100</v>
      </c>
      <c r="W91" s="5">
        <f t="shared" si="26"/>
        <v>339250</v>
      </c>
      <c r="X91" s="5">
        <f t="shared" si="27"/>
        <v>237475</v>
      </c>
      <c r="Y91" s="5">
        <f t="shared" si="28"/>
        <v>201854</v>
      </c>
      <c r="Z91" s="5">
        <f t="shared" si="29"/>
        <v>131205</v>
      </c>
      <c r="AA91" s="5">
        <f t="shared" si="30"/>
        <v>111524</v>
      </c>
      <c r="AB91" s="5">
        <f t="shared" si="31"/>
        <v>78067</v>
      </c>
    </row>
    <row r="92" spans="1:28">
      <c r="A92" s="3" t="s">
        <v>36</v>
      </c>
      <c r="B92" s="12" t="s">
        <v>76</v>
      </c>
      <c r="C92" s="12" t="s">
        <v>79</v>
      </c>
      <c r="D92" s="7" t="s">
        <v>58</v>
      </c>
      <c r="E92" s="7" t="s">
        <v>64</v>
      </c>
      <c r="F92" s="7" t="s">
        <v>68</v>
      </c>
      <c r="G92" s="13" t="s">
        <v>61</v>
      </c>
      <c r="H92" s="14">
        <v>1500</v>
      </c>
      <c r="I92" s="6">
        <v>5</v>
      </c>
      <c r="J92" s="14" t="s">
        <v>57</v>
      </c>
      <c r="K92" s="14" t="s">
        <v>74</v>
      </c>
      <c r="L92" s="8">
        <v>1390000</v>
      </c>
      <c r="M92" s="5">
        <f t="shared" si="16"/>
        <v>1320500</v>
      </c>
      <c r="N92" s="5">
        <f t="shared" si="17"/>
        <v>1181500</v>
      </c>
      <c r="O92" s="5">
        <f t="shared" si="18"/>
        <v>1112000</v>
      </c>
      <c r="P92" s="5">
        <f t="shared" si="19"/>
        <v>973000</v>
      </c>
      <c r="Q92" s="5">
        <f t="shared" si="20"/>
        <v>834000</v>
      </c>
      <c r="R92" s="5">
        <f t="shared" si="21"/>
        <v>695000</v>
      </c>
      <c r="S92" s="5">
        <f t="shared" si="22"/>
        <v>625500</v>
      </c>
      <c r="T92" s="5">
        <f t="shared" si="23"/>
        <v>556000</v>
      </c>
      <c r="U92" s="5">
        <f t="shared" si="24"/>
        <v>486500</v>
      </c>
      <c r="V92" s="5">
        <f t="shared" si="25"/>
        <v>417000</v>
      </c>
      <c r="W92" s="5">
        <f t="shared" si="26"/>
        <v>347500</v>
      </c>
      <c r="X92" s="5">
        <f t="shared" si="27"/>
        <v>243250</v>
      </c>
      <c r="Y92" s="5">
        <f t="shared" si="28"/>
        <v>206763</v>
      </c>
      <c r="Z92" s="5">
        <f t="shared" si="29"/>
        <v>134396</v>
      </c>
      <c r="AA92" s="5">
        <f t="shared" si="30"/>
        <v>114237</v>
      </c>
      <c r="AB92" s="5">
        <f t="shared" si="31"/>
        <v>79966</v>
      </c>
    </row>
    <row r="93" spans="1:28">
      <c r="A93" s="3" t="s">
        <v>36</v>
      </c>
      <c r="B93" s="12" t="s">
        <v>77</v>
      </c>
      <c r="C93" s="12" t="s">
        <v>79</v>
      </c>
      <c r="D93" s="7" t="s">
        <v>59</v>
      </c>
      <c r="E93" s="7" t="s">
        <v>65</v>
      </c>
      <c r="F93" s="7" t="s">
        <v>69</v>
      </c>
      <c r="G93" s="13" t="s">
        <v>62</v>
      </c>
      <c r="H93" s="15">
        <v>1462</v>
      </c>
      <c r="I93" s="6">
        <v>5</v>
      </c>
      <c r="J93" s="15" t="s">
        <v>60</v>
      </c>
      <c r="K93" s="15" t="s">
        <v>75</v>
      </c>
      <c r="L93" s="9">
        <v>1455000</v>
      </c>
      <c r="M93" s="5">
        <f t="shared" si="16"/>
        <v>1382250</v>
      </c>
      <c r="N93" s="5">
        <f t="shared" si="17"/>
        <v>1236750</v>
      </c>
      <c r="O93" s="5">
        <f t="shared" si="18"/>
        <v>1164000</v>
      </c>
      <c r="P93" s="5">
        <f t="shared" si="19"/>
        <v>1018500</v>
      </c>
      <c r="Q93" s="5">
        <f t="shared" si="20"/>
        <v>873000</v>
      </c>
      <c r="R93" s="5">
        <f t="shared" si="21"/>
        <v>727500</v>
      </c>
      <c r="S93" s="5">
        <f t="shared" si="22"/>
        <v>654750</v>
      </c>
      <c r="T93" s="5">
        <f t="shared" si="23"/>
        <v>582000</v>
      </c>
      <c r="U93" s="5">
        <f t="shared" si="24"/>
        <v>509250</v>
      </c>
      <c r="V93" s="5">
        <f t="shared" si="25"/>
        <v>436500</v>
      </c>
      <c r="W93" s="5">
        <f t="shared" si="26"/>
        <v>363750</v>
      </c>
      <c r="X93" s="5">
        <f t="shared" si="27"/>
        <v>254625</v>
      </c>
      <c r="Y93" s="5">
        <f t="shared" si="28"/>
        <v>216431</v>
      </c>
      <c r="Z93" s="5">
        <f t="shared" si="29"/>
        <v>140680</v>
      </c>
      <c r="AA93" s="5">
        <f t="shared" si="30"/>
        <v>119578</v>
      </c>
      <c r="AB93" s="5">
        <f t="shared" si="31"/>
        <v>83705</v>
      </c>
    </row>
    <row r="94" spans="1:28">
      <c r="A94" s="3" t="s">
        <v>36</v>
      </c>
      <c r="B94" s="12" t="s">
        <v>78</v>
      </c>
      <c r="C94" s="12" t="s">
        <v>79</v>
      </c>
      <c r="D94" s="7" t="s">
        <v>66</v>
      </c>
      <c r="E94" s="7" t="s">
        <v>67</v>
      </c>
      <c r="F94" s="7" t="s">
        <v>70</v>
      </c>
      <c r="G94" s="13" t="s">
        <v>63</v>
      </c>
      <c r="H94" s="16">
        <v>1493</v>
      </c>
      <c r="I94" s="6">
        <v>5</v>
      </c>
      <c r="J94" s="15" t="s">
        <v>57</v>
      </c>
      <c r="K94" s="17" t="s">
        <v>74</v>
      </c>
      <c r="L94" s="10">
        <v>1357000</v>
      </c>
      <c r="M94" s="5">
        <f t="shared" si="16"/>
        <v>1289150</v>
      </c>
      <c r="N94" s="5">
        <f t="shared" si="17"/>
        <v>1153450</v>
      </c>
      <c r="O94" s="5">
        <f t="shared" si="18"/>
        <v>1085600</v>
      </c>
      <c r="P94" s="5">
        <f t="shared" si="19"/>
        <v>949900</v>
      </c>
      <c r="Q94" s="5">
        <f t="shared" si="20"/>
        <v>814200</v>
      </c>
      <c r="R94" s="5">
        <f t="shared" si="21"/>
        <v>678500</v>
      </c>
      <c r="S94" s="5">
        <f t="shared" si="22"/>
        <v>610650</v>
      </c>
      <c r="T94" s="5">
        <f t="shared" si="23"/>
        <v>542800</v>
      </c>
      <c r="U94" s="5">
        <f t="shared" si="24"/>
        <v>474950</v>
      </c>
      <c r="V94" s="5">
        <f t="shared" si="25"/>
        <v>407100</v>
      </c>
      <c r="W94" s="5">
        <f t="shared" si="26"/>
        <v>339250</v>
      </c>
      <c r="X94" s="5">
        <f t="shared" si="27"/>
        <v>237475</v>
      </c>
      <c r="Y94" s="5">
        <f t="shared" si="28"/>
        <v>201854</v>
      </c>
      <c r="Z94" s="5">
        <f t="shared" si="29"/>
        <v>131205</v>
      </c>
      <c r="AA94" s="5">
        <f t="shared" si="30"/>
        <v>111524</v>
      </c>
      <c r="AB94" s="5">
        <f t="shared" si="31"/>
        <v>78067</v>
      </c>
    </row>
    <row r="95" spans="1:28">
      <c r="A95" s="3" t="s">
        <v>37</v>
      </c>
      <c r="B95" s="12" t="s">
        <v>76</v>
      </c>
      <c r="C95" s="12" t="s">
        <v>79</v>
      </c>
      <c r="D95" s="7" t="s">
        <v>58</v>
      </c>
      <c r="E95" s="7" t="s">
        <v>64</v>
      </c>
      <c r="F95" s="7" t="s">
        <v>68</v>
      </c>
      <c r="G95" s="13" t="s">
        <v>61</v>
      </c>
      <c r="H95" s="14">
        <v>1500</v>
      </c>
      <c r="I95" s="6">
        <v>5</v>
      </c>
      <c r="J95" s="14" t="s">
        <v>57</v>
      </c>
      <c r="K95" s="14" t="s">
        <v>74</v>
      </c>
      <c r="L95" s="8">
        <v>1390000</v>
      </c>
      <c r="M95" s="5">
        <f t="shared" si="16"/>
        <v>1320500</v>
      </c>
      <c r="N95" s="5">
        <f t="shared" si="17"/>
        <v>1181500</v>
      </c>
      <c r="O95" s="5">
        <f t="shared" si="18"/>
        <v>1112000</v>
      </c>
      <c r="P95" s="5">
        <f t="shared" si="19"/>
        <v>973000</v>
      </c>
      <c r="Q95" s="5">
        <f t="shared" si="20"/>
        <v>834000</v>
      </c>
      <c r="R95" s="5">
        <f t="shared" si="21"/>
        <v>695000</v>
      </c>
      <c r="S95" s="5">
        <f t="shared" si="22"/>
        <v>625500</v>
      </c>
      <c r="T95" s="5">
        <f t="shared" si="23"/>
        <v>556000</v>
      </c>
      <c r="U95" s="5">
        <f t="shared" si="24"/>
        <v>486500</v>
      </c>
      <c r="V95" s="5">
        <f t="shared" si="25"/>
        <v>417000</v>
      </c>
      <c r="W95" s="5">
        <f t="shared" si="26"/>
        <v>347500</v>
      </c>
      <c r="X95" s="5">
        <f t="shared" si="27"/>
        <v>243250</v>
      </c>
      <c r="Y95" s="5">
        <f t="shared" si="28"/>
        <v>206763</v>
      </c>
      <c r="Z95" s="5">
        <f t="shared" si="29"/>
        <v>134396</v>
      </c>
      <c r="AA95" s="5">
        <f t="shared" si="30"/>
        <v>114237</v>
      </c>
      <c r="AB95" s="5">
        <f t="shared" si="31"/>
        <v>79966</v>
      </c>
    </row>
    <row r="96" spans="1:28">
      <c r="A96" s="3" t="s">
        <v>37</v>
      </c>
      <c r="B96" s="12" t="s">
        <v>77</v>
      </c>
      <c r="C96" s="12" t="s">
        <v>79</v>
      </c>
      <c r="D96" s="7" t="s">
        <v>59</v>
      </c>
      <c r="E96" s="7" t="s">
        <v>65</v>
      </c>
      <c r="F96" s="7" t="s">
        <v>69</v>
      </c>
      <c r="G96" s="13" t="s">
        <v>62</v>
      </c>
      <c r="H96" s="15">
        <v>1462</v>
      </c>
      <c r="I96" s="6">
        <v>5</v>
      </c>
      <c r="J96" s="15" t="s">
        <v>60</v>
      </c>
      <c r="K96" s="15" t="s">
        <v>75</v>
      </c>
      <c r="L96" s="9">
        <v>1455000</v>
      </c>
      <c r="M96" s="5">
        <f t="shared" si="16"/>
        <v>1382250</v>
      </c>
      <c r="N96" s="5">
        <f t="shared" si="17"/>
        <v>1236750</v>
      </c>
      <c r="O96" s="5">
        <f t="shared" si="18"/>
        <v>1164000</v>
      </c>
      <c r="P96" s="5">
        <f t="shared" si="19"/>
        <v>1018500</v>
      </c>
      <c r="Q96" s="5">
        <f t="shared" si="20"/>
        <v>873000</v>
      </c>
      <c r="R96" s="5">
        <f t="shared" si="21"/>
        <v>727500</v>
      </c>
      <c r="S96" s="5">
        <f t="shared" si="22"/>
        <v>654750</v>
      </c>
      <c r="T96" s="5">
        <f t="shared" si="23"/>
        <v>582000</v>
      </c>
      <c r="U96" s="5">
        <f t="shared" si="24"/>
        <v>509250</v>
      </c>
      <c r="V96" s="5">
        <f t="shared" si="25"/>
        <v>436500</v>
      </c>
      <c r="W96" s="5">
        <f t="shared" si="26"/>
        <v>363750</v>
      </c>
      <c r="X96" s="5">
        <f t="shared" si="27"/>
        <v>254625</v>
      </c>
      <c r="Y96" s="5">
        <f t="shared" si="28"/>
        <v>216431</v>
      </c>
      <c r="Z96" s="5">
        <f t="shared" si="29"/>
        <v>140680</v>
      </c>
      <c r="AA96" s="5">
        <f t="shared" si="30"/>
        <v>119578</v>
      </c>
      <c r="AB96" s="5">
        <f t="shared" si="31"/>
        <v>83705</v>
      </c>
    </row>
    <row r="97" spans="1:28">
      <c r="A97" s="3" t="s">
        <v>37</v>
      </c>
      <c r="B97" s="12" t="s">
        <v>78</v>
      </c>
      <c r="C97" s="12" t="s">
        <v>79</v>
      </c>
      <c r="D97" s="7" t="s">
        <v>66</v>
      </c>
      <c r="E97" s="7" t="s">
        <v>67</v>
      </c>
      <c r="F97" s="7" t="s">
        <v>70</v>
      </c>
      <c r="G97" s="13" t="s">
        <v>63</v>
      </c>
      <c r="H97" s="16">
        <v>1493</v>
      </c>
      <c r="I97" s="6">
        <v>5</v>
      </c>
      <c r="J97" s="15" t="s">
        <v>57</v>
      </c>
      <c r="K97" s="17" t="s">
        <v>74</v>
      </c>
      <c r="L97" s="10">
        <v>1357000</v>
      </c>
      <c r="M97" s="5">
        <f t="shared" si="16"/>
        <v>1289150</v>
      </c>
      <c r="N97" s="5">
        <f t="shared" si="17"/>
        <v>1153450</v>
      </c>
      <c r="O97" s="5">
        <f t="shared" si="18"/>
        <v>1085600</v>
      </c>
      <c r="P97" s="5">
        <f t="shared" si="19"/>
        <v>949900</v>
      </c>
      <c r="Q97" s="5">
        <f t="shared" si="20"/>
        <v>814200</v>
      </c>
      <c r="R97" s="5">
        <f t="shared" si="21"/>
        <v>678500</v>
      </c>
      <c r="S97" s="5">
        <f t="shared" si="22"/>
        <v>610650</v>
      </c>
      <c r="T97" s="5">
        <f t="shared" si="23"/>
        <v>542800</v>
      </c>
      <c r="U97" s="5">
        <f t="shared" si="24"/>
        <v>474950</v>
      </c>
      <c r="V97" s="5">
        <f t="shared" si="25"/>
        <v>407100</v>
      </c>
      <c r="W97" s="5">
        <f t="shared" si="26"/>
        <v>339250</v>
      </c>
      <c r="X97" s="5">
        <f t="shared" si="27"/>
        <v>237475</v>
      </c>
      <c r="Y97" s="5">
        <f t="shared" si="28"/>
        <v>201854</v>
      </c>
      <c r="Z97" s="5">
        <f t="shared" si="29"/>
        <v>131205</v>
      </c>
      <c r="AA97" s="5">
        <f t="shared" si="30"/>
        <v>111524</v>
      </c>
      <c r="AB97" s="5">
        <f t="shared" si="31"/>
        <v>78067</v>
      </c>
    </row>
  </sheetData>
  <sortState ref="A2:AA97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IDV'S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Kamla</cp:lastModifiedBy>
  <dcterms:created xsi:type="dcterms:W3CDTF">2021-10-08T10:10:43Z</dcterms:created>
  <dcterms:modified xsi:type="dcterms:W3CDTF">2022-06-08T09:12:29Z</dcterms:modified>
</cp:coreProperties>
</file>